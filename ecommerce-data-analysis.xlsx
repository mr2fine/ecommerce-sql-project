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ouad\Desktop\ecommerce-sql-project\"/>
    </mc:Choice>
  </mc:AlternateContent>
  <xr:revisionPtr revIDLastSave="0" documentId="8_{CE09BB62-CBA2-448F-B185-9E94503EC1B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Orders_Data" sheetId="1" r:id="rId1"/>
    <sheet name="Sheet3" sheetId="9" r:id="rId2"/>
    <sheet name="Dashboard" sheetId="2" r:id="rId3"/>
    <sheet name="Pivot Table 1" sheetId="3" r:id="rId4"/>
    <sheet name="Conclusion" sheetId="10" r:id="rId5"/>
  </sheets>
  <definedNames>
    <definedName name="_xlnm._FilterDatabase" localSheetId="0" hidden="1">Orders_Data!$A$1:$AC$42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Z42" i="1"/>
  <c r="Y42" i="1"/>
  <c r="X42" i="1"/>
  <c r="W42" i="1"/>
  <c r="V42" i="1"/>
  <c r="U42" i="1"/>
  <c r="T42" i="1"/>
  <c r="S42" i="1"/>
  <c r="R42" i="1"/>
  <c r="Q42" i="1"/>
  <c r="O42" i="1"/>
  <c r="M42" i="1"/>
  <c r="N42" i="1" s="1"/>
  <c r="L42" i="1"/>
  <c r="E42" i="1"/>
  <c r="Z41" i="1"/>
  <c r="Y41" i="1"/>
  <c r="X41" i="1"/>
  <c r="W41" i="1"/>
  <c r="V41" i="1"/>
  <c r="U41" i="1"/>
  <c r="T41" i="1"/>
  <c r="S41" i="1"/>
  <c r="R41" i="1"/>
  <c r="Q41" i="1"/>
  <c r="O41" i="1"/>
  <c r="M41" i="1"/>
  <c r="N41" i="1" s="1"/>
  <c r="L41" i="1"/>
  <c r="Z40" i="1"/>
  <c r="Y40" i="1"/>
  <c r="X40" i="1"/>
  <c r="W40" i="1"/>
  <c r="V40" i="1"/>
  <c r="U40" i="1"/>
  <c r="T40" i="1"/>
  <c r="S40" i="1"/>
  <c r="R40" i="1"/>
  <c r="Q40" i="1"/>
  <c r="O40" i="1"/>
  <c r="M40" i="1"/>
  <c r="N40" i="1" s="1"/>
  <c r="L40" i="1"/>
  <c r="Z39" i="1"/>
  <c r="Y39" i="1"/>
  <c r="X39" i="1"/>
  <c r="W39" i="1"/>
  <c r="V39" i="1"/>
  <c r="U39" i="1"/>
  <c r="T39" i="1"/>
  <c r="S39" i="1"/>
  <c r="R39" i="1"/>
  <c r="Q39" i="1"/>
  <c r="O39" i="1"/>
  <c r="M39" i="1"/>
  <c r="N39" i="1" s="1"/>
  <c r="L39" i="1"/>
  <c r="Z38" i="1"/>
  <c r="Y38" i="1"/>
  <c r="X38" i="1"/>
  <c r="W38" i="1"/>
  <c r="V38" i="1"/>
  <c r="U38" i="1"/>
  <c r="T38" i="1"/>
  <c r="S38" i="1"/>
  <c r="R38" i="1"/>
  <c r="Q38" i="1"/>
  <c r="O38" i="1"/>
  <c r="M38" i="1"/>
  <c r="N38" i="1" s="1"/>
  <c r="L38" i="1"/>
  <c r="Z37" i="1"/>
  <c r="Y37" i="1"/>
  <c r="X37" i="1"/>
  <c r="W37" i="1"/>
  <c r="V37" i="1"/>
  <c r="U37" i="1"/>
  <c r="T37" i="1"/>
  <c r="S37" i="1"/>
  <c r="R37" i="1"/>
  <c r="Q37" i="1"/>
  <c r="O37" i="1"/>
  <c r="M37" i="1"/>
  <c r="N37" i="1" s="1"/>
  <c r="L37" i="1"/>
  <c r="Z36" i="1"/>
  <c r="Y36" i="1"/>
  <c r="X36" i="1"/>
  <c r="W36" i="1"/>
  <c r="V36" i="1"/>
  <c r="U36" i="1"/>
  <c r="T36" i="1"/>
  <c r="S36" i="1"/>
  <c r="R36" i="1"/>
  <c r="Q36" i="1"/>
  <c r="O36" i="1"/>
  <c r="N36" i="1"/>
  <c r="M36" i="1"/>
  <c r="L36" i="1"/>
  <c r="Z35" i="1"/>
  <c r="Y35" i="1"/>
  <c r="X35" i="1"/>
  <c r="W35" i="1"/>
  <c r="V35" i="1"/>
  <c r="U35" i="1"/>
  <c r="T35" i="1"/>
  <c r="S35" i="1"/>
  <c r="R35" i="1"/>
  <c r="Q35" i="1"/>
  <c r="O35" i="1"/>
  <c r="N35" i="1"/>
  <c r="M35" i="1"/>
  <c r="L35" i="1"/>
  <c r="Z34" i="1"/>
  <c r="Y34" i="1"/>
  <c r="X34" i="1"/>
  <c r="W34" i="1"/>
  <c r="V34" i="1"/>
  <c r="U34" i="1"/>
  <c r="T34" i="1"/>
  <c r="S34" i="1"/>
  <c r="R34" i="1"/>
  <c r="Q34" i="1"/>
  <c r="O34" i="1"/>
  <c r="M34" i="1"/>
  <c r="N34" i="1" s="1"/>
  <c r="L34" i="1"/>
  <c r="Z33" i="1"/>
  <c r="Y33" i="1"/>
  <c r="X33" i="1"/>
  <c r="W33" i="1"/>
  <c r="V33" i="1"/>
  <c r="U33" i="1"/>
  <c r="T33" i="1"/>
  <c r="S33" i="1"/>
  <c r="R33" i="1"/>
  <c r="Q33" i="1"/>
  <c r="O33" i="1"/>
  <c r="M33" i="1"/>
  <c r="N33" i="1" s="1"/>
  <c r="L33" i="1"/>
  <c r="Z32" i="1"/>
  <c r="Y32" i="1"/>
  <c r="X32" i="1"/>
  <c r="W32" i="1"/>
  <c r="V32" i="1"/>
  <c r="U32" i="1"/>
  <c r="T32" i="1"/>
  <c r="S32" i="1"/>
  <c r="R32" i="1"/>
  <c r="Q32" i="1"/>
  <c r="O32" i="1"/>
  <c r="M32" i="1"/>
  <c r="N32" i="1" s="1"/>
  <c r="L32" i="1"/>
  <c r="Z31" i="1"/>
  <c r="Y31" i="1"/>
  <c r="X31" i="1"/>
  <c r="W31" i="1"/>
  <c r="V31" i="1"/>
  <c r="U31" i="1"/>
  <c r="T31" i="1"/>
  <c r="S31" i="1"/>
  <c r="R31" i="1"/>
  <c r="Q31" i="1"/>
  <c r="O31" i="1"/>
  <c r="M31" i="1"/>
  <c r="N31" i="1" s="1"/>
  <c r="L31" i="1"/>
  <c r="Z30" i="1"/>
  <c r="Y30" i="1"/>
  <c r="X30" i="1"/>
  <c r="W30" i="1"/>
  <c r="V30" i="1"/>
  <c r="U30" i="1"/>
  <c r="T30" i="1"/>
  <c r="S30" i="1"/>
  <c r="R30" i="1"/>
  <c r="Q30" i="1"/>
  <c r="O30" i="1"/>
  <c r="M30" i="1"/>
  <c r="N30" i="1" s="1"/>
  <c r="L30" i="1"/>
  <c r="Z29" i="1"/>
  <c r="Y29" i="1"/>
  <c r="X29" i="1"/>
  <c r="W29" i="1"/>
  <c r="V29" i="1"/>
  <c r="U29" i="1"/>
  <c r="T29" i="1"/>
  <c r="S29" i="1"/>
  <c r="R29" i="1"/>
  <c r="Q29" i="1"/>
  <c r="O29" i="1"/>
  <c r="M29" i="1"/>
  <c r="N29" i="1" s="1"/>
  <c r="L29" i="1"/>
  <c r="Z28" i="1"/>
  <c r="Y28" i="1"/>
  <c r="X28" i="1"/>
  <c r="W28" i="1"/>
  <c r="V28" i="1"/>
  <c r="U28" i="1"/>
  <c r="T28" i="1"/>
  <c r="S28" i="1"/>
  <c r="R28" i="1"/>
  <c r="Q28" i="1"/>
  <c r="O28" i="1"/>
  <c r="N28" i="1"/>
  <c r="M28" i="1"/>
  <c r="L28" i="1"/>
  <c r="Z27" i="1"/>
  <c r="Y27" i="1"/>
  <c r="X27" i="1"/>
  <c r="W27" i="1"/>
  <c r="V27" i="1"/>
  <c r="U27" i="1"/>
  <c r="T27" i="1"/>
  <c r="S27" i="1"/>
  <c r="R27" i="1"/>
  <c r="Q27" i="1"/>
  <c r="O27" i="1"/>
  <c r="N27" i="1"/>
  <c r="M27" i="1"/>
  <c r="L27" i="1"/>
  <c r="Z26" i="1"/>
  <c r="Y26" i="1"/>
  <c r="X26" i="1"/>
  <c r="W26" i="1"/>
  <c r="V26" i="1"/>
  <c r="U26" i="1"/>
  <c r="T26" i="1"/>
  <c r="S26" i="1"/>
  <c r="R26" i="1"/>
  <c r="Q26" i="1"/>
  <c r="O26" i="1"/>
  <c r="M26" i="1"/>
  <c r="N26" i="1" s="1"/>
  <c r="L26" i="1"/>
  <c r="Z25" i="1"/>
  <c r="Y25" i="1"/>
  <c r="X25" i="1"/>
  <c r="W25" i="1"/>
  <c r="V25" i="1"/>
  <c r="U25" i="1"/>
  <c r="T25" i="1"/>
  <c r="S25" i="1"/>
  <c r="R25" i="1"/>
  <c r="Q25" i="1"/>
  <c r="O25" i="1"/>
  <c r="M25" i="1"/>
  <c r="L25" i="1"/>
  <c r="Z24" i="1"/>
  <c r="Y24" i="1"/>
  <c r="X24" i="1"/>
  <c r="W24" i="1"/>
  <c r="V24" i="1"/>
  <c r="U24" i="1"/>
  <c r="T24" i="1"/>
  <c r="S24" i="1"/>
  <c r="R24" i="1"/>
  <c r="Q24" i="1"/>
  <c r="O24" i="1"/>
  <c r="M24" i="1"/>
  <c r="L24" i="1"/>
  <c r="Z23" i="1"/>
  <c r="Y23" i="1"/>
  <c r="X23" i="1"/>
  <c r="W23" i="1"/>
  <c r="V23" i="1"/>
  <c r="U23" i="1"/>
  <c r="T23" i="1"/>
  <c r="S23" i="1"/>
  <c r="R23" i="1"/>
  <c r="Q23" i="1"/>
  <c r="O23" i="1"/>
  <c r="M23" i="1"/>
  <c r="N23" i="1" s="1"/>
  <c r="L23" i="1"/>
  <c r="Z22" i="1"/>
  <c r="Y22" i="1"/>
  <c r="X22" i="1"/>
  <c r="W22" i="1"/>
  <c r="V22" i="1"/>
  <c r="U22" i="1"/>
  <c r="T22" i="1"/>
  <c r="S22" i="1"/>
  <c r="R22" i="1"/>
  <c r="Q22" i="1"/>
  <c r="O22" i="1"/>
  <c r="M22" i="1"/>
  <c r="N22" i="1" s="1"/>
  <c r="L22" i="1"/>
  <c r="Z21" i="1"/>
  <c r="Y21" i="1"/>
  <c r="X21" i="1"/>
  <c r="W21" i="1"/>
  <c r="V21" i="1"/>
  <c r="U21" i="1"/>
  <c r="T21" i="1"/>
  <c r="S21" i="1"/>
  <c r="R21" i="1"/>
  <c r="Q21" i="1"/>
  <c r="O21" i="1"/>
  <c r="M21" i="1"/>
  <c r="N21" i="1" s="1"/>
  <c r="L21" i="1"/>
  <c r="Z20" i="1"/>
  <c r="Y20" i="1"/>
  <c r="X20" i="1"/>
  <c r="W20" i="1"/>
  <c r="V20" i="1"/>
  <c r="U20" i="1"/>
  <c r="T20" i="1"/>
  <c r="S20" i="1"/>
  <c r="R20" i="1"/>
  <c r="Q20" i="1"/>
  <c r="O20" i="1"/>
  <c r="N20" i="1"/>
  <c r="M20" i="1"/>
  <c r="L20" i="1"/>
  <c r="Z19" i="1"/>
  <c r="Y19" i="1"/>
  <c r="X19" i="1"/>
  <c r="W19" i="1"/>
  <c r="V19" i="1"/>
  <c r="U19" i="1"/>
  <c r="T19" i="1"/>
  <c r="S19" i="1"/>
  <c r="R19" i="1"/>
  <c r="Q19" i="1"/>
  <c r="O19" i="1"/>
  <c r="N19" i="1"/>
  <c r="M19" i="1"/>
  <c r="L19" i="1"/>
  <c r="Z18" i="1"/>
  <c r="Y18" i="1"/>
  <c r="X18" i="1"/>
  <c r="W18" i="1"/>
  <c r="V18" i="1"/>
  <c r="U18" i="1"/>
  <c r="T18" i="1"/>
  <c r="S18" i="1"/>
  <c r="R18" i="1"/>
  <c r="Q18" i="1"/>
  <c r="O18" i="1"/>
  <c r="M18" i="1"/>
  <c r="N18" i="1" s="1"/>
  <c r="L18" i="1"/>
  <c r="Z17" i="1"/>
  <c r="Y17" i="1"/>
  <c r="X17" i="1"/>
  <c r="W17" i="1"/>
  <c r="V17" i="1"/>
  <c r="U17" i="1"/>
  <c r="T17" i="1"/>
  <c r="S17" i="1"/>
  <c r="R17" i="1"/>
  <c r="Q17" i="1"/>
  <c r="O17" i="1"/>
  <c r="M17" i="1"/>
  <c r="N17" i="1" s="1"/>
  <c r="L17" i="1"/>
  <c r="Z16" i="1"/>
  <c r="Y16" i="1"/>
  <c r="X16" i="1"/>
  <c r="W16" i="1"/>
  <c r="V16" i="1"/>
  <c r="U16" i="1"/>
  <c r="T16" i="1"/>
  <c r="S16" i="1"/>
  <c r="R16" i="1"/>
  <c r="Q16" i="1"/>
  <c r="O16" i="1"/>
  <c r="M16" i="1"/>
  <c r="N16" i="1" s="1"/>
  <c r="L16" i="1"/>
  <c r="Z15" i="1"/>
  <c r="Y15" i="1"/>
  <c r="X15" i="1"/>
  <c r="W15" i="1"/>
  <c r="V15" i="1"/>
  <c r="U15" i="1"/>
  <c r="T15" i="1"/>
  <c r="S15" i="1"/>
  <c r="R15" i="1"/>
  <c r="Q15" i="1"/>
  <c r="O15" i="1"/>
  <c r="M15" i="1"/>
  <c r="L15" i="1"/>
  <c r="Z14" i="1"/>
  <c r="Y14" i="1"/>
  <c r="X14" i="1"/>
  <c r="W14" i="1"/>
  <c r="V14" i="1"/>
  <c r="U14" i="1"/>
  <c r="T14" i="1"/>
  <c r="S14" i="1"/>
  <c r="R14" i="1"/>
  <c r="Q14" i="1"/>
  <c r="O14" i="1"/>
  <c r="M14" i="1"/>
  <c r="N14" i="1" s="1"/>
  <c r="L14" i="1"/>
  <c r="Z13" i="1"/>
  <c r="Y13" i="1"/>
  <c r="X13" i="1"/>
  <c r="W13" i="1"/>
  <c r="V13" i="1"/>
  <c r="U13" i="1"/>
  <c r="T13" i="1"/>
  <c r="S13" i="1"/>
  <c r="R13" i="1"/>
  <c r="Q13" i="1"/>
  <c r="O13" i="1"/>
  <c r="M13" i="1"/>
  <c r="N13" i="1" s="1"/>
  <c r="L13" i="1"/>
  <c r="Z12" i="1"/>
  <c r="Y12" i="1"/>
  <c r="X12" i="1"/>
  <c r="W12" i="1"/>
  <c r="V12" i="1"/>
  <c r="U12" i="1"/>
  <c r="T12" i="1"/>
  <c r="S12" i="1"/>
  <c r="R12" i="1"/>
  <c r="Q12" i="1"/>
  <c r="O12" i="1"/>
  <c r="N12" i="1"/>
  <c r="M12" i="1"/>
  <c r="L12" i="1"/>
  <c r="Z11" i="1"/>
  <c r="Y11" i="1"/>
  <c r="X11" i="1"/>
  <c r="W11" i="1"/>
  <c r="V11" i="1"/>
  <c r="U11" i="1"/>
  <c r="T11" i="1"/>
  <c r="S11" i="1"/>
  <c r="R11" i="1"/>
  <c r="Q11" i="1"/>
  <c r="O11" i="1"/>
  <c r="N11" i="1"/>
  <c r="M11" i="1"/>
  <c r="L11" i="1"/>
  <c r="Z10" i="1"/>
  <c r="Y10" i="1"/>
  <c r="X10" i="1"/>
  <c r="W10" i="1"/>
  <c r="V10" i="1"/>
  <c r="U10" i="1"/>
  <c r="T10" i="1"/>
  <c r="S10" i="1"/>
  <c r="R10" i="1"/>
  <c r="Q10" i="1"/>
  <c r="O10" i="1"/>
  <c r="M10" i="1"/>
  <c r="N10" i="1" s="1"/>
  <c r="L10" i="1"/>
  <c r="Z9" i="1"/>
  <c r="Y9" i="1"/>
  <c r="X9" i="1"/>
  <c r="W9" i="1"/>
  <c r="V9" i="1"/>
  <c r="U9" i="1"/>
  <c r="T9" i="1"/>
  <c r="S9" i="1"/>
  <c r="R9" i="1"/>
  <c r="Q9" i="1"/>
  <c r="O9" i="1"/>
  <c r="M9" i="1"/>
  <c r="N9" i="1" s="1"/>
  <c r="L9" i="1"/>
  <c r="Z8" i="1"/>
  <c r="Y8" i="1"/>
  <c r="X8" i="1"/>
  <c r="W8" i="1"/>
  <c r="V8" i="1"/>
  <c r="U8" i="1"/>
  <c r="T8" i="1"/>
  <c r="S8" i="1"/>
  <c r="R8" i="1"/>
  <c r="Q8" i="1"/>
  <c r="O8" i="1"/>
  <c r="M8" i="1"/>
  <c r="N8" i="1" s="1"/>
  <c r="L8" i="1"/>
  <c r="Z7" i="1"/>
  <c r="Y7" i="1"/>
  <c r="X7" i="1"/>
  <c r="W7" i="1"/>
  <c r="V7" i="1"/>
  <c r="U7" i="1"/>
  <c r="T7" i="1"/>
  <c r="S7" i="1"/>
  <c r="R7" i="1"/>
  <c r="Q7" i="1"/>
  <c r="O7" i="1"/>
  <c r="M7" i="1"/>
  <c r="N7" i="1" s="1"/>
  <c r="L7" i="1"/>
  <c r="Z6" i="1"/>
  <c r="Y6" i="1"/>
  <c r="X6" i="1"/>
  <c r="W6" i="1"/>
  <c r="V6" i="1"/>
  <c r="U6" i="1"/>
  <c r="T6" i="1"/>
  <c r="S6" i="1"/>
  <c r="R6" i="1"/>
  <c r="Q6" i="1"/>
  <c r="O6" i="1"/>
  <c r="M6" i="1"/>
  <c r="N6" i="1" s="1"/>
  <c r="L6" i="1"/>
  <c r="Z5" i="1"/>
  <c r="Y5" i="1"/>
  <c r="X5" i="1"/>
  <c r="W5" i="1"/>
  <c r="V5" i="1"/>
  <c r="U5" i="1"/>
  <c r="T5" i="1"/>
  <c r="S5" i="1"/>
  <c r="R5" i="1"/>
  <c r="Q5" i="1"/>
  <c r="O5" i="1"/>
  <c r="M5" i="1"/>
  <c r="N5" i="1" s="1"/>
  <c r="L5" i="1"/>
  <c r="Z4" i="1"/>
  <c r="Y4" i="1"/>
  <c r="X4" i="1"/>
  <c r="W4" i="1"/>
  <c r="V4" i="1"/>
  <c r="U4" i="1"/>
  <c r="T4" i="1"/>
  <c r="S4" i="1"/>
  <c r="R4" i="1"/>
  <c r="Q4" i="1"/>
  <c r="O4" i="1"/>
  <c r="N4" i="1"/>
  <c r="M4" i="1"/>
  <c r="L4" i="1"/>
  <c r="Z3" i="1"/>
  <c r="Y3" i="1"/>
  <c r="X3" i="1"/>
  <c r="W3" i="1"/>
  <c r="V3" i="1"/>
  <c r="U3" i="1"/>
  <c r="T3" i="1"/>
  <c r="S3" i="1"/>
  <c r="R3" i="1"/>
  <c r="Q3" i="1"/>
  <c r="O3" i="1"/>
  <c r="N3" i="1"/>
  <c r="M3" i="1"/>
  <c r="L3" i="1"/>
  <c r="Z2" i="1"/>
  <c r="Y2" i="1"/>
  <c r="X2" i="1"/>
  <c r="W2" i="1"/>
  <c r="V2" i="1"/>
  <c r="U2" i="1"/>
  <c r="T2" i="1"/>
  <c r="S2" i="1"/>
  <c r="R2" i="1"/>
  <c r="Q2" i="1"/>
  <c r="O2" i="1"/>
  <c r="M2" i="1"/>
  <c r="A2" i="2" s="1"/>
  <c r="L2" i="1"/>
  <c r="N25" i="1" l="1"/>
  <c r="N24" i="1"/>
  <c r="N2" i="1"/>
  <c r="N1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8E3B72-49B8-491C-9FFF-F6F3F04194F8}" keepAlive="1" name="Query - OrdersTable" description="Connection to the 'OrdersTable' query in the workbook." type="5" refreshedVersion="8" background="1" saveData="1">
    <dbPr connection="Provider=Microsoft.Mashup.OleDb.1;Data Source=$Workbook$;Location=OrdersTable;Extended Properties=&quot;&quot;" command="SELECT * FROM [OrdersTable]"/>
  </connection>
</connections>
</file>

<file path=xl/sharedStrings.xml><?xml version="1.0" encoding="utf-8"?>
<sst xmlns="http://schemas.openxmlformats.org/spreadsheetml/2006/main" count="362" uniqueCount="116">
  <si>
    <t>Order_ID</t>
  </si>
  <si>
    <t>Order_Date</t>
  </si>
  <si>
    <t>Customer</t>
  </si>
  <si>
    <t>City</t>
  </si>
  <si>
    <t>Category</t>
  </si>
  <si>
    <t>Product</t>
  </si>
  <si>
    <t>Quantity</t>
  </si>
  <si>
    <t>Unit_Price</t>
  </si>
  <si>
    <t>Discount</t>
  </si>
  <si>
    <t>Payment_Method</t>
  </si>
  <si>
    <t>Order_Status</t>
  </si>
  <si>
    <t>Gross_Sales</t>
  </si>
  <si>
    <t>Net_Sales</t>
  </si>
  <si>
    <t>Order_Value</t>
  </si>
  <si>
    <t>Customer_Clean</t>
  </si>
  <si>
    <t>Customer_names</t>
  </si>
  <si>
    <t>Customer_Upper</t>
  </si>
  <si>
    <t>Customer_Proper</t>
  </si>
  <si>
    <t>Customer_Name_Length</t>
  </si>
  <si>
    <t>Customer_First_3</t>
  </si>
  <si>
    <t>Customer_Last_3</t>
  </si>
  <si>
    <t>Customer_Mid_3</t>
  </si>
  <si>
    <t>Customer_Label</t>
  </si>
  <si>
    <t>Customer_Summary</t>
  </si>
  <si>
    <t>Ahmed Ali</t>
  </si>
  <si>
    <t>Order_Month</t>
  </si>
  <si>
    <t>Order_Year</t>
  </si>
  <si>
    <t>Column 27</t>
  </si>
  <si>
    <t>Column 28</t>
  </si>
  <si>
    <t>Column 29</t>
  </si>
  <si>
    <t>ORD-1004</t>
  </si>
  <si>
    <t>ORD-1021</t>
  </si>
  <si>
    <t>Sara Mohammed</t>
  </si>
  <si>
    <t>Khobar</t>
  </si>
  <si>
    <t>Home &amp; Kitchen</t>
  </si>
  <si>
    <t>Electric Kettle</t>
  </si>
  <si>
    <t>Cash on Delivery</t>
  </si>
  <si>
    <t>Completed</t>
  </si>
  <si>
    <t>Total Net Sale</t>
  </si>
  <si>
    <t>Completed Orders</t>
  </si>
  <si>
    <t>ORD-1025</t>
  </si>
  <si>
    <t>Huda Ibrahim</t>
  </si>
  <si>
    <t>Electronics</t>
  </si>
  <si>
    <t>USB-C Hub</t>
  </si>
  <si>
    <t>ORD-1003</t>
  </si>
  <si>
    <t>Reem Fahad</t>
  </si>
  <si>
    <t>Dammam</t>
  </si>
  <si>
    <t>Mechanical Keyboard</t>
  </si>
  <si>
    <t>Apple Pay</t>
  </si>
  <si>
    <t>Returned</t>
  </si>
  <si>
    <t>ORD-1030</t>
  </si>
  <si>
    <t>Nora Salem</t>
  </si>
  <si>
    <t>Riyadh</t>
  </si>
  <si>
    <t>Coffee Maker</t>
  </si>
  <si>
    <t>SUM of Net_Sales</t>
  </si>
  <si>
    <t>0 Total</t>
  </si>
  <si>
    <t>Clothing</t>
  </si>
  <si>
    <t>Cotton T-Shirt</t>
  </si>
  <si>
    <t>Hoodie</t>
  </si>
  <si>
    <t>Clothing Total</t>
  </si>
  <si>
    <t>Wireless Mouse</t>
  </si>
  <si>
    <t>Electronics Total</t>
  </si>
  <si>
    <t>Home &amp; Kitchen Total</t>
  </si>
  <si>
    <t>Sports</t>
  </si>
  <si>
    <t>Football</t>
  </si>
  <si>
    <t>Sports Total</t>
  </si>
  <si>
    <t>ORD-1009</t>
  </si>
  <si>
    <t>Jeddah</t>
  </si>
  <si>
    <t>Mada</t>
  </si>
  <si>
    <t>Yousef Nasser</t>
  </si>
  <si>
    <t>ORD-1006</t>
  </si>
  <si>
    <t>Qatif</t>
  </si>
  <si>
    <t>Cancelled</t>
  </si>
  <si>
    <t>Fahad Hassan</t>
  </si>
  <si>
    <t>ORD-1007</t>
  </si>
  <si>
    <t>Maha Abdullah</t>
  </si>
  <si>
    <t>ORD-1008</t>
  </si>
  <si>
    <t>ORD-1013</t>
  </si>
  <si>
    <t>Ali Saeed</t>
  </si>
  <si>
    <t>ORD-1010</t>
  </si>
  <si>
    <t>Khalid Omar</t>
  </si>
  <si>
    <t>ORD-1011</t>
  </si>
  <si>
    <t>ORD-1032</t>
  </si>
  <si>
    <t>ORD-1017</t>
  </si>
  <si>
    <t>ORD-1037</t>
  </si>
  <si>
    <t>ORD-1016</t>
  </si>
  <si>
    <t>Credit Card</t>
  </si>
  <si>
    <t>ORD-1005</t>
  </si>
  <si>
    <t>ORD-1018</t>
  </si>
  <si>
    <t>ORD-1019</t>
  </si>
  <si>
    <t>ORD-1001</t>
  </si>
  <si>
    <t>ORD-1039</t>
  </si>
  <si>
    <t>ORD-1022</t>
  </si>
  <si>
    <t>ORD-1014</t>
  </si>
  <si>
    <t>ORD-1020</t>
  </si>
  <si>
    <t>ORD-1028</t>
  </si>
  <si>
    <t>ORD-1026</t>
  </si>
  <si>
    <t>ORD-1027</t>
  </si>
  <si>
    <t>ORD-1012</t>
  </si>
  <si>
    <t>ORD-1029</t>
  </si>
  <si>
    <t>ORD-1015</t>
  </si>
  <si>
    <t>ORD-1002</t>
  </si>
  <si>
    <t>ORD-1034</t>
  </si>
  <si>
    <t>ORD-1033</t>
  </si>
  <si>
    <t>ORD-1023</t>
  </si>
  <si>
    <t>ORD-1035</t>
  </si>
  <si>
    <t>ORD-1036</t>
  </si>
  <si>
    <t>ORD-1024</t>
  </si>
  <si>
    <t>ORD-1031</t>
  </si>
  <si>
    <t>ORD-1038</t>
  </si>
  <si>
    <t>ORD-1040</t>
  </si>
  <si>
    <t>(blank)</t>
  </si>
  <si>
    <t>Row Labels</t>
  </si>
  <si>
    <t>Grand Total</t>
  </si>
  <si>
    <t>Sum of Net_Sales</t>
  </si>
  <si>
    <t>Electronics is the strongest completed-order category, and Wireless Mouse is the top completed product, so the business should closely monitor stock levels for key electronics products and prioritize replenishment to avoid missed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</si>
</sst>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#,##0.00\ &quot;SAR&quot;"/>
  </numFmts>
  <fonts count="6">
    <font>
      <sz val="11"/>
      <color rgb="FF000000"/>
      <name val="Carlito"/>
      <scheme val="minor"/>
    </font>
    <font>
      <sz val="11"/>
      <color theme="1"/>
      <name val="Carlito"/>
    </font>
    <font>
      <sz val="11"/>
      <color theme="1"/>
      <name val="Carlito"/>
      <scheme val="minor"/>
    </font>
    <font>
      <b/>
      <sz val="11"/>
      <color rgb="FF000000"/>
      <name val="Carlito"/>
    </font>
    <font>
      <sz val="11"/>
      <color rgb="FF000000"/>
      <name val="Carlito"/>
    </font>
    <font>
      <sz val="9"/>
      <color theme="1"/>
      <name val="Carlito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5" fontId="2" fillId="0" borderId="0" xfId="0" applyNumberFormat="1" applyFont="1"/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0" xfId="0" applyBorder="1"/>
    <xf numFmtId="0" fontId="0" fillId="0" borderId="7" xfId="0" applyBorder="1" applyAlignment="1">
      <alignment horizontal="left"/>
    </xf>
    <xf numFmtId="0" fontId="0" fillId="0" borderId="9" xfId="0" pivotButton="1" applyBorder="1"/>
    <xf numFmtId="0" fontId="0" fillId="0" borderId="4" xfId="0" applyBorder="1" applyAlignment="1">
      <alignment horizontal="left" indent="1"/>
    </xf>
  </cellXfs>
  <cellStyles count="1">
    <cellStyle name="Normal" xfId="0" builtinId="0"/>
  </cellStyles>
  <dxfs count="4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name="Orders_Data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[ecommerce-data-analysis.xlsx]Sheet3!PivotTable3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Sheet3!$A$4:$A$18</c:f>
              <c:multiLvlStrCache>
                <c:ptCount val="7"/>
                <c:lvl>
                  <c:pt idx="0">
                    <c:v>Home &amp; Kitchen</c:v>
                  </c:pt>
                  <c:pt idx="1">
                    <c:v>Clothing</c:v>
                  </c:pt>
                  <c:pt idx="2">
                    <c:v>Home &amp; Kitchen</c:v>
                  </c:pt>
                  <c:pt idx="3">
                    <c:v>Sports</c:v>
                  </c:pt>
                  <c:pt idx="4">
                    <c:v>Clothing</c:v>
                  </c:pt>
                  <c:pt idx="5">
                    <c:v>Electronics</c:v>
                  </c:pt>
                  <c:pt idx="6">
                    <c:v>Electronics</c:v>
                  </c:pt>
                </c:lvl>
                <c:lvl>
                  <c:pt idx="0">
                    <c:v>Coffee Maker</c:v>
                  </c:pt>
                  <c:pt idx="1">
                    <c:v>Cotton T-Shirt</c:v>
                  </c:pt>
                  <c:pt idx="2">
                    <c:v>Electric Kettle</c:v>
                  </c:pt>
                  <c:pt idx="3">
                    <c:v>Football</c:v>
                  </c:pt>
                  <c:pt idx="4">
                    <c:v>Hoodie</c:v>
                  </c:pt>
                  <c:pt idx="5">
                    <c:v>USB-C Hub</c:v>
                  </c:pt>
                  <c:pt idx="6">
                    <c:v>Wireless Mouse</c:v>
                  </c:pt>
                </c:lvl>
              </c:multiLvlStrCache>
            </c:multiLvlStrRef>
          </c:cat>
          <c:val>
            <c:numRef>
              <c:f>Sheet3!$B$4:$B$18</c:f>
              <c:numCache>
                <c:formatCode>General</c:formatCode>
                <c:ptCount val="7"/>
                <c:pt idx="0">
                  <c:v>475</c:v>
                </c:pt>
                <c:pt idx="1">
                  <c:v>424</c:v>
                </c:pt>
                <c:pt idx="2">
                  <c:v>1141</c:v>
                </c:pt>
                <c:pt idx="3">
                  <c:v>720</c:v>
                </c:pt>
                <c:pt idx="4">
                  <c:v>160</c:v>
                </c:pt>
                <c:pt idx="5">
                  <c:v>1590</c:v>
                </c:pt>
                <c:pt idx="6">
                  <c:v>1158.75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4-4F3A-8847-C4F9DADE59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1234111"/>
        <c:axId val="1229084720"/>
      </c:barChart>
      <c:catAx>
        <c:axId val="78123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084720"/>
        <c:crosses val="autoZero"/>
        <c:auto val="1"/>
        <c:lblAlgn val="ctr"/>
        <c:lblOffset val="100"/>
        <c:noMultiLvlLbl val="0"/>
      </c:catAx>
      <c:valAx>
        <c:axId val="122908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3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Net Sales by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1'!$C$1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rgbClr val="156082"/>
            </a:solidFill>
            <a:ln cmpd="sng">
              <a:noFill/>
            </a:ln>
          </c:spPr>
          <c:invertIfNegative val="1"/>
          <c:cat>
            <c:strRef>
              <c:f>'Pivot Table 1'!$A$2:$A$16</c:f>
              <c:strCache>
                <c:ptCount val="14"/>
                <c:pt idx="0">
                  <c:v>0</c:v>
                </c:pt>
                <c:pt idx="1">
                  <c:v>0 Total</c:v>
                </c:pt>
                <c:pt idx="2">
                  <c:v>Clothing</c:v>
                </c:pt>
                <c:pt idx="4">
                  <c:v>Clothing Total</c:v>
                </c:pt>
                <c:pt idx="5">
                  <c:v>Electronics</c:v>
                </c:pt>
                <c:pt idx="8">
                  <c:v>Electronics Total</c:v>
                </c:pt>
                <c:pt idx="9">
                  <c:v>Home &amp; Kitchen</c:v>
                </c:pt>
                <c:pt idx="11">
                  <c:v>Home &amp; Kitchen Total</c:v>
                </c:pt>
                <c:pt idx="12">
                  <c:v>Sports</c:v>
                </c:pt>
                <c:pt idx="13">
                  <c:v>Sports Total</c:v>
                </c:pt>
              </c:strCache>
            </c:strRef>
          </c:cat>
          <c:val>
            <c:numRef>
              <c:f>'Pivot Table 1'!$C$2:$C$16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904</c:v>
                </c:pt>
                <c:pt idx="3">
                  <c:v>640</c:v>
                </c:pt>
                <c:pt idx="4">
                  <c:v>1544</c:v>
                </c:pt>
                <c:pt idx="5">
                  <c:v>1350</c:v>
                </c:pt>
                <c:pt idx="6">
                  <c:v>2034</c:v>
                </c:pt>
                <c:pt idx="7">
                  <c:v>1158.75</c:v>
                </c:pt>
                <c:pt idx="8">
                  <c:v>4542.75</c:v>
                </c:pt>
                <c:pt idx="9">
                  <c:v>2325</c:v>
                </c:pt>
                <c:pt idx="10">
                  <c:v>2541</c:v>
                </c:pt>
                <c:pt idx="11">
                  <c:v>4866</c:v>
                </c:pt>
                <c:pt idx="12">
                  <c:v>810</c:v>
                </c:pt>
                <c:pt idx="13">
                  <c:v>810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41D-4336-B715-C95EC2EB6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6709536"/>
        <c:axId val="1058274937"/>
      </c:barChart>
      <c:catAx>
        <c:axId val="198670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8274937"/>
        <c:crosses val="autoZero"/>
        <c:auto val="1"/>
        <c:lblAlgn val="ctr"/>
        <c:lblOffset val="100"/>
        <c:noMultiLvlLbl val="1"/>
      </c:catAx>
      <c:valAx>
        <c:axId val="10582749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Net_Sales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670953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Net Sales by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1'!$C$1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rgbClr val="156082"/>
            </a:solidFill>
            <a:ln cmpd="sng">
              <a:noFill/>
            </a:ln>
          </c:spPr>
          <c:invertIfNegative val="1"/>
          <c:cat>
            <c:strRef>
              <c:f>'Pivot Table 1'!$A$2:$A$16</c:f>
              <c:strCache>
                <c:ptCount val="14"/>
                <c:pt idx="0">
                  <c:v>0</c:v>
                </c:pt>
                <c:pt idx="1">
                  <c:v>0 Total</c:v>
                </c:pt>
                <c:pt idx="2">
                  <c:v>Clothing</c:v>
                </c:pt>
                <c:pt idx="4">
                  <c:v>Clothing Total</c:v>
                </c:pt>
                <c:pt idx="5">
                  <c:v>Electronics</c:v>
                </c:pt>
                <c:pt idx="8">
                  <c:v>Electronics Total</c:v>
                </c:pt>
                <c:pt idx="9">
                  <c:v>Home &amp; Kitchen</c:v>
                </c:pt>
                <c:pt idx="11">
                  <c:v>Home &amp; Kitchen Total</c:v>
                </c:pt>
                <c:pt idx="12">
                  <c:v>Sports</c:v>
                </c:pt>
                <c:pt idx="13">
                  <c:v>Sports Total</c:v>
                </c:pt>
              </c:strCache>
            </c:strRef>
          </c:cat>
          <c:val>
            <c:numRef>
              <c:f>'Pivot Table 1'!$C$2:$C$16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904</c:v>
                </c:pt>
                <c:pt idx="3">
                  <c:v>640</c:v>
                </c:pt>
                <c:pt idx="4">
                  <c:v>1544</c:v>
                </c:pt>
                <c:pt idx="5">
                  <c:v>1350</c:v>
                </c:pt>
                <c:pt idx="6">
                  <c:v>2034</c:v>
                </c:pt>
                <c:pt idx="7">
                  <c:v>1158.75</c:v>
                </c:pt>
                <c:pt idx="8">
                  <c:v>4542.75</c:v>
                </c:pt>
                <c:pt idx="9">
                  <c:v>2325</c:v>
                </c:pt>
                <c:pt idx="10">
                  <c:v>2541</c:v>
                </c:pt>
                <c:pt idx="11">
                  <c:v>4866</c:v>
                </c:pt>
                <c:pt idx="12">
                  <c:v>810</c:v>
                </c:pt>
                <c:pt idx="13">
                  <c:v>810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5CC-49D6-938B-05DA72EBD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0160236"/>
        <c:axId val="2138715620"/>
      </c:barChart>
      <c:catAx>
        <c:axId val="1440160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8715620"/>
        <c:crosses val="autoZero"/>
        <c:auto val="1"/>
        <c:lblAlgn val="ctr"/>
        <c:lblOffset val="100"/>
        <c:noMultiLvlLbl val="1"/>
      </c:catAx>
      <c:valAx>
        <c:axId val="21387156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Net_Sales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016023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387350</xdr:colOff>
      <xdr:row>8</xdr:row>
      <xdr:rowOff>28575</xdr:rowOff>
    </xdr:from>
    <xdr:to>
      <xdr:col>10</xdr:col>
      <xdr:colOff>336550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FDA881-5B78-DFD5-D5BE-3A1101B43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47625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66675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ouad" refreshedDate="46280.479148032406" refreshedVersion="8" recordCount="41" xr:uid="{00000000-000A-0000-FFFF-FFFF00000000}">
  <cacheSource type="worksheet">
    <worksheetSource ref="A1:AC42" sheet="Orders_Data"/>
  </cacheSource>
  <cacheFields count="29">
    <cacheField name="Order_ID" numFmtId="0">
      <sharedItems containsBlank="1"/>
    </cacheField>
    <cacheField name="Order_Date" numFmtId="164">
      <sharedItems containsNonDate="0" containsDate="1" containsString="0" containsBlank="1" minDate="2026-08-01T00:00:00" maxDate="2026-09-01T00:00:00"/>
    </cacheField>
    <cacheField name="Customer" numFmtId="0">
      <sharedItems containsBlank="1"/>
    </cacheField>
    <cacheField name="City" numFmtId="0">
      <sharedItems containsBlank="1"/>
    </cacheField>
    <cacheField name="Category" numFmtId="0">
      <sharedItems containsMixedTypes="1" containsNumber="1" containsInteger="1" minValue="0" maxValue="0" count="5">
        <s v="Home &amp; Kitchen"/>
        <s v="Electronics"/>
        <s v="Sports"/>
        <s v="Clothing"/>
        <n v="0"/>
      </sharedItems>
    </cacheField>
    <cacheField name="Product" numFmtId="0">
      <sharedItems containsBlank="1" count="9">
        <s v="Electric Kettle"/>
        <s v="USB-C Hub"/>
        <s v="Mechanical Keyboard"/>
        <s v="Coffee Maker"/>
        <s v="Football"/>
        <s v="Hoodie"/>
        <s v="Wireless Mouse"/>
        <s v="Cotton T-Shirt"/>
        <m/>
      </sharedItems>
    </cacheField>
    <cacheField name="Quantity" numFmtId="0">
      <sharedItems containsString="0" containsBlank="1" containsNumber="1" containsInteger="1" minValue="1" maxValue="4"/>
    </cacheField>
    <cacheField name="Unit_Price" numFmtId="165">
      <sharedItems containsString="0" containsBlank="1" containsNumber="1" containsInteger="1" minValue="75" maxValue="250"/>
    </cacheField>
    <cacheField name="Discount" numFmtId="9">
      <sharedItems containsString="0" containsBlank="1" containsNumber="1" minValue="0" maxValue="0.15"/>
    </cacheField>
    <cacheField name="Payment_Method" numFmtId="0">
      <sharedItems containsBlank="1"/>
    </cacheField>
    <cacheField name="Order_Status" numFmtId="0">
      <sharedItems containsBlank="1"/>
    </cacheField>
    <cacheField name="Gross_Sales" numFmtId="165">
      <sharedItems containsSemiMixedTypes="0" containsString="0" containsNumber="1" containsInteger="1" minValue="0" maxValue="1000"/>
    </cacheField>
    <cacheField name="Net_Sales" numFmtId="165">
      <sharedItems containsSemiMixedTypes="0" containsString="0" containsNumber="1" minValue="0" maxValue="850"/>
    </cacheField>
    <cacheField name="Order_Value" numFmtId="0">
      <sharedItems/>
    </cacheField>
    <cacheField name="Customer_Clean" numFmtId="0">
      <sharedItems/>
    </cacheField>
    <cacheField name="Customer_names" numFmtId="0">
      <sharedItems containsBlank="1"/>
    </cacheField>
    <cacheField name="Customer_Upper" numFmtId="0">
      <sharedItems/>
    </cacheField>
    <cacheField name="Customer_Proper" numFmtId="0">
      <sharedItems/>
    </cacheField>
    <cacheField name="Customer_Name_Length" numFmtId="0">
      <sharedItems containsSemiMixedTypes="0" containsString="0" containsNumber="1" containsInteger="1" minValue="0" maxValue="13"/>
    </cacheField>
    <cacheField name="Customer_First_3" numFmtId="0">
      <sharedItems/>
    </cacheField>
    <cacheField name="Customer_Last_3" numFmtId="0">
      <sharedItems/>
    </cacheField>
    <cacheField name="Customer_Mid_3" numFmtId="0">
      <sharedItems/>
    </cacheField>
    <cacheField name="Customer_Label" numFmtId="0">
      <sharedItems/>
    </cacheField>
    <cacheField name="Customer_Summary" numFmtId="0">
      <sharedItems/>
    </cacheField>
    <cacheField name="Order_Month" numFmtId="0">
      <sharedItems containsSemiMixedTypes="0" containsString="0" containsNumber="1" containsInteger="1" minValue="1" maxValue="8"/>
    </cacheField>
    <cacheField name="Order_Year" numFmtId="0">
      <sharedItems containsSemiMixedTypes="0" containsString="0" containsNumber="1" containsInteger="1" minValue="1900" maxValue="2026"/>
    </cacheField>
    <cacheField name="Column 27" numFmtId="0">
      <sharedItems containsNonDate="0" containsString="0" containsBlank="1"/>
    </cacheField>
    <cacheField name="Column 28" numFmtId="0">
      <sharedItems containsNonDate="0" containsString="0" containsBlank="1"/>
    </cacheField>
    <cacheField name="Column 29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uad" refreshedDate="46280.532109375003" createdVersion="8" refreshedVersion="8" minRefreshableVersion="3" recordCount="41" xr:uid="{2D6F4E3D-DFB6-4854-A809-B0607552236D}">
  <cacheSource type="worksheet">
    <worksheetSource name="OrdersTable_1"/>
  </cacheSource>
  <cacheFields count="29">
    <cacheField name="Order_ID" numFmtId="0">
      <sharedItems containsBlank="1"/>
    </cacheField>
    <cacheField name="Order_Date" numFmtId="14">
      <sharedItems containsNonDate="0" containsDate="1" containsString="0" containsBlank="1" minDate="2026-08-01T00:00:00" maxDate="2026-09-01T00:00:00"/>
    </cacheField>
    <cacheField name="Customer" numFmtId="0">
      <sharedItems containsBlank="1"/>
    </cacheField>
    <cacheField name="City" numFmtId="0">
      <sharedItems containsBlank="1"/>
    </cacheField>
    <cacheField name="Category" numFmtId="0">
      <sharedItems containsBlank="1" count="5">
        <s v="Home &amp; Kitchen"/>
        <s v="Sports"/>
        <s v="Electronics"/>
        <s v="Clothing"/>
        <m/>
      </sharedItems>
    </cacheField>
    <cacheField name="Product" numFmtId="0">
      <sharedItems containsBlank="1" count="9">
        <s v="Coffee Maker"/>
        <s v="Football"/>
        <s v="Electric Kettle"/>
        <s v="Wireless Mouse"/>
        <s v="USB-C Hub"/>
        <s v="Mechanical Keyboard"/>
        <s v="Cotton T-Shirt"/>
        <s v="Hoodie"/>
        <m/>
      </sharedItems>
    </cacheField>
    <cacheField name="Quantity" numFmtId="0">
      <sharedItems containsString="0" containsBlank="1" containsNumber="1" containsInteger="1" minValue="1" maxValue="4"/>
    </cacheField>
    <cacheField name="Unit_Price" numFmtId="0">
      <sharedItems containsString="0" containsBlank="1" containsNumber="1" containsInteger="1" minValue="75" maxValue="250"/>
    </cacheField>
    <cacheField name="Discount" numFmtId="0">
      <sharedItems containsString="0" containsBlank="1" containsNumber="1" minValue="0" maxValue="0.15"/>
    </cacheField>
    <cacheField name="Payment_Method" numFmtId="0">
      <sharedItems containsBlank="1"/>
    </cacheField>
    <cacheField name="Order_Status" numFmtId="0">
      <sharedItems containsBlank="1" count="4">
        <s v="Cancelled"/>
        <s v="Completed"/>
        <s v="Returned"/>
        <m/>
      </sharedItems>
    </cacheField>
    <cacheField name="Gross_Sales" numFmtId="0">
      <sharedItems containsString="0" containsBlank="1" containsNumber="1" containsInteger="1" minValue="75" maxValue="1000"/>
    </cacheField>
    <cacheField name="Net_Sales" numFmtId="0">
      <sharedItems containsString="0" containsBlank="1" containsNumber="1" minValue="67.5" maxValue="850"/>
    </cacheField>
    <cacheField name="Order_Value" numFmtId="0">
      <sharedItems containsBlank="1"/>
    </cacheField>
    <cacheField name="Customer_Clean" numFmtId="0">
      <sharedItems containsBlank="1"/>
    </cacheField>
    <cacheField name="Customer_names" numFmtId="0">
      <sharedItems containsBlank="1"/>
    </cacheField>
    <cacheField name="Customer_Upper" numFmtId="0">
      <sharedItems containsBlank="1"/>
    </cacheField>
    <cacheField name="Customer_Proper" numFmtId="0">
      <sharedItems containsBlank="1"/>
    </cacheField>
    <cacheField name="Customer_Name_Length" numFmtId="0">
      <sharedItems containsString="0" containsBlank="1" containsNumber="1" containsInteger="1" minValue="9" maxValue="13"/>
    </cacheField>
    <cacheField name="Customer_First_3" numFmtId="0">
      <sharedItems containsBlank="1"/>
    </cacheField>
    <cacheField name="Customer_Last_3" numFmtId="0">
      <sharedItems containsBlank="1"/>
    </cacheField>
    <cacheField name="Customer_Mid_3" numFmtId="0">
      <sharedItems containsBlank="1"/>
    </cacheField>
    <cacheField name="Customer_Label" numFmtId="0">
      <sharedItems containsBlank="1"/>
    </cacheField>
    <cacheField name="Customer_Summary" numFmtId="0">
      <sharedItems containsNonDate="0" containsString="0" containsBlank="1"/>
    </cacheField>
    <cacheField name="Order_Month" numFmtId="0">
      <sharedItems containsString="0" containsBlank="1" containsNumber="1" containsInteger="1" minValue="8" maxValue="8"/>
    </cacheField>
    <cacheField name="Order_Year" numFmtId="0">
      <sharedItems containsString="0" containsBlank="1" containsNumber="1" containsInteger="1" minValue="2026" maxValue="2026"/>
    </cacheField>
    <cacheField name="Column 27" numFmtId="0">
      <sharedItems containsNonDate="0" containsString="0" containsBlank="1"/>
    </cacheField>
    <cacheField name="Column 28" numFmtId="0">
      <sharedItems containsNonDate="0" containsString="0" containsBlank="1"/>
    </cacheField>
    <cacheField name="Column 29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ORD-1021"/>
    <d v="2026-08-13T00:00:00"/>
    <s v="Sara Mohammed"/>
    <s v="Khobar"/>
    <x v="0"/>
    <x v="0"/>
    <n v="4"/>
    <n v="140"/>
    <n v="0.05"/>
    <s v="Cash on Delivery"/>
    <s v="Completed"/>
    <n v="560"/>
    <n v="532"/>
    <s v="High Value"/>
    <s v="Sara Mohammed"/>
    <s v="Sara Mohammed"/>
    <s v="SARA MOHAMMED"/>
    <s v="Sara Mohammed"/>
    <n v="13"/>
    <s v="Sar"/>
    <s v="med"/>
    <s v="ara "/>
    <s v="Sara Mohammed - Khobar"/>
    <e v="#NAME?"/>
    <n v="8"/>
    <n v="2026"/>
    <m/>
    <m/>
    <m/>
  </r>
  <r>
    <s v="ORD-1025"/>
    <d v="2026-08-04T00:00:00"/>
    <s v="Huda Ibrahim"/>
    <s v="Khobar"/>
    <x v="1"/>
    <x v="1"/>
    <n v="4"/>
    <n v="120"/>
    <n v="0"/>
    <s v="Cash on Delivery"/>
    <s v="Completed"/>
    <n v="480"/>
    <n v="480"/>
    <s v="High Value"/>
    <s v="Huda Ibrahim"/>
    <s v="Huda Ibrahim"/>
    <s v="HUDA IBRAHIM"/>
    <s v="Huda Ibrahim"/>
    <n v="12"/>
    <s v="Hud"/>
    <s v="him"/>
    <s v="uda "/>
    <s v="Huda Ibrahim - Khobar"/>
    <e v="#NAME?"/>
    <n v="8"/>
    <n v="2026"/>
    <m/>
    <m/>
    <m/>
  </r>
  <r>
    <s v="ORD-1003"/>
    <d v="2026-08-27T00:00:00"/>
    <s v="Reem Fahad"/>
    <s v="Dammam"/>
    <x v="1"/>
    <x v="2"/>
    <n v="4"/>
    <n v="150"/>
    <n v="0"/>
    <s v="Apple Pay"/>
    <s v="Returned"/>
    <n v="600"/>
    <n v="600"/>
    <s v="High Value"/>
    <s v="Reem Fahad"/>
    <s v="Reem Fahad"/>
    <s v="REEM FAHAD"/>
    <s v="Reem Fahad"/>
    <n v="10"/>
    <s v="Ree"/>
    <s v="had"/>
    <s v="eem "/>
    <s v="Reem Fahad - Dammam"/>
    <e v="#NAME?"/>
    <n v="8"/>
    <n v="2026"/>
    <m/>
    <m/>
    <m/>
  </r>
  <r>
    <s v="ORD-1030"/>
    <d v="2026-08-24T00:00:00"/>
    <s v="Nora Salem"/>
    <s v="Riyadh"/>
    <x v="0"/>
    <x v="3"/>
    <n v="2"/>
    <n v="250"/>
    <n v="0.05"/>
    <s v="Cash on Delivery"/>
    <s v="Completed"/>
    <n v="500"/>
    <n v="475"/>
    <s v="High Value"/>
    <s v="Nora Salem"/>
    <s v="Nora Salem"/>
    <s v="NORA SALEM"/>
    <s v="Nora Salem"/>
    <n v="10"/>
    <s v="Nor"/>
    <s v="lem"/>
    <s v="ora "/>
    <s v="Nora Salem - Riyadh"/>
    <e v="#NAME?"/>
    <n v="8"/>
    <n v="2026"/>
    <m/>
    <m/>
    <m/>
  </r>
  <r>
    <s v="ORD-1009"/>
    <d v="2026-08-24T00:00:00"/>
    <s v="Huda Ibrahim"/>
    <s v="Jeddah"/>
    <x v="2"/>
    <x v="4"/>
    <n v="4"/>
    <n v="90"/>
    <n v="0"/>
    <s v="Mada"/>
    <s v="Completed"/>
    <n v="360"/>
    <n v="360"/>
    <s v="High Value"/>
    <s v="Huda Ibrahim"/>
    <s v="Yousef Nasser"/>
    <s v="HUDA IBRAHIM"/>
    <s v="Huda Ibrahim"/>
    <n v="12"/>
    <s v="Hud"/>
    <s v="him"/>
    <s v="uda "/>
    <s v="Huda Ibrahim - Jeddah"/>
    <e v="#NAME?"/>
    <n v="8"/>
    <n v="2026"/>
    <m/>
    <m/>
    <m/>
  </r>
  <r>
    <s v="ORD-1006"/>
    <d v="2026-08-18T00:00:00"/>
    <s v="Sara Mohammed"/>
    <s v="Qatif"/>
    <x v="0"/>
    <x v="3"/>
    <n v="3"/>
    <n v="250"/>
    <n v="0"/>
    <s v="Mada"/>
    <s v="Cancelled"/>
    <n v="750"/>
    <n v="750"/>
    <s v="High Value"/>
    <s v="Sara Mohammed"/>
    <s v="Fahad Hassan"/>
    <s v="SARA MOHAMMED"/>
    <s v="Sara Mohammed"/>
    <n v="13"/>
    <s v="Sar"/>
    <s v="med"/>
    <s v="ara "/>
    <s v="Sara Mohammed - Qatif"/>
    <e v="#NAME?"/>
    <n v="8"/>
    <n v="2026"/>
    <m/>
    <m/>
    <m/>
  </r>
  <r>
    <s v="ORD-1007"/>
    <d v="2026-08-18T00:00:00"/>
    <s v="Yousef Nasser"/>
    <s v="Jeddah"/>
    <x v="0"/>
    <x v="3"/>
    <n v="4"/>
    <n v="250"/>
    <n v="0.15"/>
    <s v="Cash on Delivery"/>
    <s v="Cancelled"/>
    <n v="1000"/>
    <n v="850"/>
    <s v="High Value"/>
    <s v="Yousef Nasser"/>
    <s v="Maha Abdullah"/>
    <s v="YOUSEF NASSER"/>
    <s v="Yousef Nasser"/>
    <n v="13"/>
    <s v="You"/>
    <s v="ser"/>
    <s v="ouse"/>
    <s v="Yousef Nasser - Jeddah"/>
    <e v="#NAME?"/>
    <n v="8"/>
    <n v="2026"/>
    <m/>
    <m/>
    <m/>
  </r>
  <r>
    <s v="ORD-1008"/>
    <d v="2026-08-08T00:00:00"/>
    <s v="Fahad Hassan"/>
    <s v="Riyadh"/>
    <x v="3"/>
    <x v="5"/>
    <n v="3"/>
    <n v="160"/>
    <n v="0"/>
    <s v="Mada"/>
    <s v="Cancelled"/>
    <n v="480"/>
    <n v="480"/>
    <s v="High Value"/>
    <s v="Fahad Hassan"/>
    <s v="Ahmed Ali"/>
    <s v="FAHAD HASSAN"/>
    <s v="Fahad Hassan"/>
    <n v="12"/>
    <s v="Fah"/>
    <s v="san"/>
    <s v="ahad"/>
    <s v="Fahad Hassan - Riyadh"/>
    <e v="#NAME?"/>
    <n v="8"/>
    <n v="2026"/>
    <m/>
    <m/>
    <m/>
  </r>
  <r>
    <s v="ORD-1013"/>
    <d v="2026-08-23T00:00:00"/>
    <s v="Yousef Nasser"/>
    <s v="Jeddah"/>
    <x v="2"/>
    <x v="4"/>
    <n v="4"/>
    <n v="90"/>
    <n v="0"/>
    <s v="Mada"/>
    <s v="Completed"/>
    <n v="360"/>
    <n v="360"/>
    <s v="High Value"/>
    <s v="Yousef Nasser"/>
    <s v="Ali Saeed"/>
    <s v="YOUSEF NASSER"/>
    <s v="Yousef Nasser"/>
    <n v="13"/>
    <s v="You"/>
    <s v="ser"/>
    <s v="ouse"/>
    <s v="Yousef Nasser - Jeddah"/>
    <e v="#NAME?"/>
    <n v="8"/>
    <n v="2026"/>
    <m/>
    <m/>
    <m/>
  </r>
  <r>
    <s v="ORD-1010"/>
    <d v="2026-08-05T00:00:00"/>
    <s v="Huda Ibrahim"/>
    <s v="Khobar"/>
    <x v="0"/>
    <x v="0"/>
    <n v="2"/>
    <n v="140"/>
    <n v="0"/>
    <s v="Mada"/>
    <s v="Returned"/>
    <n v="280"/>
    <n v="280"/>
    <s v="Regular"/>
    <s v="Huda Ibrahim"/>
    <s v="Khalid Omar"/>
    <s v="HUDA IBRAHIM"/>
    <s v="Huda Ibrahim"/>
    <n v="12"/>
    <s v="Hud"/>
    <s v="him"/>
    <s v="uda "/>
    <s v="Huda Ibrahim - Khobar"/>
    <e v="#NAME?"/>
    <n v="8"/>
    <n v="2026"/>
    <m/>
    <m/>
    <m/>
  </r>
  <r>
    <s v="ORD-1011"/>
    <d v="2026-08-23T00:00:00"/>
    <s v="Maha Abdullah"/>
    <s v="Qatif"/>
    <x v="1"/>
    <x v="2"/>
    <n v="3"/>
    <n v="150"/>
    <n v="0"/>
    <s v="Cash on Delivery"/>
    <s v="Cancelled"/>
    <n v="450"/>
    <n v="450"/>
    <s v="High Value"/>
    <s v="Maha Abdullah"/>
    <m/>
    <s v="MAHA ABDULLAH"/>
    <s v="Maha Abdullah"/>
    <n v="13"/>
    <s v="Mah"/>
    <s v="lah"/>
    <s v="aha "/>
    <s v="Maha Abdullah - Qatif"/>
    <e v="#NAME?"/>
    <n v="8"/>
    <n v="2026"/>
    <m/>
    <m/>
    <m/>
  </r>
  <r>
    <s v="ORD-1032"/>
    <d v="2026-08-08T00:00:00"/>
    <s v="Sara Mohammed"/>
    <s v="Riyadh"/>
    <x v="1"/>
    <x v="1"/>
    <n v="3"/>
    <n v="120"/>
    <n v="0"/>
    <s v="Cash on Delivery"/>
    <s v="Completed"/>
    <n v="360"/>
    <n v="360"/>
    <s v="High Value"/>
    <s v="Sara Mohammed"/>
    <m/>
    <s v="SARA MOHAMMED"/>
    <s v="Sara Mohammed"/>
    <n v="13"/>
    <s v="Sar"/>
    <s v="med"/>
    <s v="ara "/>
    <s v="Sara Mohammed - Riyadh"/>
    <e v="#NAME?"/>
    <n v="8"/>
    <n v="2026"/>
    <m/>
    <m/>
    <m/>
  </r>
  <r>
    <s v="ORD-1017"/>
    <d v="2026-08-29T00:00:00"/>
    <s v="Yousef Nasser"/>
    <s v="Riyadh"/>
    <x v="0"/>
    <x v="0"/>
    <n v="3"/>
    <n v="140"/>
    <n v="0.15"/>
    <s v="Apple Pay"/>
    <s v="Completed"/>
    <n v="420"/>
    <n v="357"/>
    <s v="High Value"/>
    <s v="Yousef Nasser"/>
    <m/>
    <s v="YOUSEF NASSER"/>
    <s v="Yousef Nasser"/>
    <n v="13"/>
    <s v="You"/>
    <s v="ser"/>
    <s v="ouse"/>
    <s v="Yousef Nasser - Riyadh"/>
    <e v="#NAME?"/>
    <n v="8"/>
    <n v="2026"/>
    <m/>
    <m/>
    <m/>
  </r>
  <r>
    <s v="ORD-1004"/>
    <d v="2026-08-08T00:00:00"/>
    <s v="Ahmed Ali"/>
    <s v="Qatif"/>
    <x v="1"/>
    <x v="6"/>
    <n v="4"/>
    <n v="75"/>
    <n v="0"/>
    <s v="Apple Pay"/>
    <s v="Completed"/>
    <n v="300"/>
    <n v="300"/>
    <s v="High Value"/>
    <s v="Ahmed Ali"/>
    <m/>
    <s v="AHMED ALI"/>
    <s v="Ahmed Ali"/>
    <n v="9"/>
    <s v="Ahm"/>
    <s v="Ali"/>
    <s v="hmed"/>
    <s v="Ahmed Ali - Qatif"/>
    <e v="#NAME?"/>
    <n v="8"/>
    <n v="2026"/>
    <m/>
    <m/>
    <m/>
  </r>
  <r>
    <s v="ORD-1037"/>
    <d v="2026-08-30T00:00:00"/>
    <s v="Maha Abdullah"/>
    <s v="Riyadh"/>
    <x v="3"/>
    <x v="7"/>
    <n v="4"/>
    <n v="80"/>
    <n v="0.15"/>
    <s v="Apple Pay"/>
    <s v="Completed"/>
    <n v="320"/>
    <n v="272"/>
    <s v="Regular"/>
    <s v="Maha Abdullah"/>
    <m/>
    <s v="MAHA ABDULLAH"/>
    <s v="Maha Abdullah"/>
    <n v="13"/>
    <s v="Mah"/>
    <s v="lah"/>
    <s v="aha "/>
    <s v="Maha Abdullah - Riyadh"/>
    <e v="#NAME?"/>
    <n v="8"/>
    <n v="2026"/>
    <m/>
    <m/>
    <m/>
  </r>
  <r>
    <s v="ORD-1016"/>
    <d v="2026-08-27T00:00:00"/>
    <s v="Yousef Nasser"/>
    <s v="Qatif"/>
    <x v="0"/>
    <x v="0"/>
    <n v="3"/>
    <n v="140"/>
    <n v="0"/>
    <s v="Credit Card"/>
    <s v="Returned"/>
    <n v="420"/>
    <n v="420"/>
    <s v="High Value"/>
    <s v="Yousef Nasser"/>
    <m/>
    <s v="YOUSEF NASSER"/>
    <s v="Yousef Nasser"/>
    <n v="13"/>
    <s v="You"/>
    <s v="ser"/>
    <s v="ouse"/>
    <s v="Yousef Nasser - Qatif"/>
    <e v="#NAME?"/>
    <n v="8"/>
    <n v="2026"/>
    <m/>
    <m/>
    <m/>
  </r>
  <r>
    <s v="ORD-1005"/>
    <d v="2026-08-04T00:00:00"/>
    <s v="Reem Fahad"/>
    <s v="Jeddah"/>
    <x v="0"/>
    <x v="0"/>
    <n v="2"/>
    <n v="140"/>
    <n v="0.1"/>
    <s v="Apple Pay"/>
    <s v="Completed"/>
    <n v="280"/>
    <n v="252"/>
    <s v="Regular"/>
    <s v="Reem Fahad"/>
    <m/>
    <s v="REEM FAHAD"/>
    <s v="Reem Fahad"/>
    <n v="10"/>
    <s v="Ree"/>
    <s v="had"/>
    <s v="eem "/>
    <s v="Reem Fahad - Jeddah"/>
    <e v="#NAME?"/>
    <n v="8"/>
    <n v="2026"/>
    <m/>
    <m/>
    <m/>
  </r>
  <r>
    <s v="ORD-1018"/>
    <d v="2026-08-22T00:00:00"/>
    <s v="Nora Salem"/>
    <s v="Dammam"/>
    <x v="3"/>
    <x v="7"/>
    <n v="2"/>
    <n v="80"/>
    <n v="0"/>
    <s v="Cash on Delivery"/>
    <s v="Cancelled"/>
    <n v="160"/>
    <n v="160"/>
    <s v="Regular"/>
    <s v="Nora Salem"/>
    <m/>
    <s v="NORA SALEM"/>
    <s v="Nora Salem"/>
    <n v="10"/>
    <s v="Nor"/>
    <s v="lem"/>
    <s v="ora "/>
    <s v="Nora Salem - Dammam"/>
    <e v="#NAME?"/>
    <n v="8"/>
    <n v="2026"/>
    <m/>
    <m/>
    <m/>
  </r>
  <r>
    <s v="ORD-1019"/>
    <d v="2026-08-01T00:00:00"/>
    <s v="Fahad Hassan"/>
    <s v="Khobar"/>
    <x v="3"/>
    <x v="7"/>
    <n v="3"/>
    <n v="80"/>
    <n v="0"/>
    <s v="Credit Card"/>
    <s v="Cancelled"/>
    <n v="240"/>
    <n v="240"/>
    <s v="Regular"/>
    <s v="Fahad Hassan"/>
    <m/>
    <s v="FAHAD HASSAN"/>
    <s v="Fahad Hassan"/>
    <n v="12"/>
    <s v="Fah"/>
    <s v="san"/>
    <s v="ahad"/>
    <s v="Fahad Hassan - Khobar"/>
    <e v="#NAME?"/>
    <n v="8"/>
    <n v="2026"/>
    <m/>
    <m/>
    <m/>
  </r>
  <r>
    <s v="ORD-1001"/>
    <d v="2026-08-21T00:00:00"/>
    <s v="Ahmed Ali"/>
    <s v="Dammam"/>
    <x v="1"/>
    <x v="1"/>
    <n v="2"/>
    <n v="120"/>
    <n v="0.05"/>
    <s v="Mada"/>
    <s v="Completed"/>
    <n v="240"/>
    <n v="228"/>
    <s v="Regular"/>
    <s v="Ahmed Ali"/>
    <m/>
    <s v="AHMED ALI"/>
    <s v="Ahmed Ali"/>
    <n v="9"/>
    <s v="Ahm"/>
    <s v="Ali"/>
    <s v="hmed"/>
    <s v="Ahmed Ali - Dammam"/>
    <e v="#NAME?"/>
    <n v="8"/>
    <n v="2026"/>
    <m/>
    <m/>
    <m/>
  </r>
  <r>
    <s v="ORD-1039"/>
    <d v="2026-08-10T00:00:00"/>
    <s v="Ali Saeed"/>
    <s v="Riyadh"/>
    <x v="1"/>
    <x v="6"/>
    <n v="3"/>
    <n v="75"/>
    <n v="0"/>
    <s v="Credit Card"/>
    <s v="Completed"/>
    <n v="225"/>
    <n v="225"/>
    <s v="Regular"/>
    <s v="Ali Saeed"/>
    <m/>
    <s v="ALI SAEED"/>
    <s v="Ali Saeed"/>
    <n v="9"/>
    <s v="Ali"/>
    <s v="eed"/>
    <s v="li S"/>
    <s v="Ali Saeed - Riyadh"/>
    <e v="#NAME?"/>
    <n v="8"/>
    <n v="2026"/>
    <m/>
    <m/>
    <m/>
  </r>
  <r>
    <s v="ORD-1022"/>
    <d v="2026-08-15T00:00:00"/>
    <s v="Fahad Hassan"/>
    <s v="Dammam"/>
    <x v="0"/>
    <x v="3"/>
    <n v="1"/>
    <n v="250"/>
    <n v="0"/>
    <s v="Credit Card"/>
    <s v="Cancelled"/>
    <n v="250"/>
    <n v="250"/>
    <s v="Regular"/>
    <s v="Fahad Hassan"/>
    <m/>
    <s v="FAHAD HASSAN"/>
    <s v="Fahad Hassan"/>
    <n v="12"/>
    <s v="Fah"/>
    <s v="san"/>
    <s v="ahad"/>
    <s v="Fahad Hassan - Dammam"/>
    <e v="#NAME?"/>
    <n v="8"/>
    <n v="2026"/>
    <m/>
    <m/>
    <m/>
  </r>
  <r>
    <s v="ORD-1014"/>
    <d v="2026-08-04T00:00:00"/>
    <s v="Huda Ibrahim"/>
    <s v="Dammam"/>
    <x v="1"/>
    <x v="1"/>
    <n v="2"/>
    <n v="120"/>
    <n v="0.1"/>
    <s v="Apple Pay"/>
    <s v="Completed"/>
    <n v="240"/>
    <n v="216"/>
    <s v="Regular"/>
    <s v="Huda Ibrahim"/>
    <m/>
    <s v="HUDA IBRAHIM"/>
    <s v="Huda Ibrahim"/>
    <n v="12"/>
    <s v="Hud"/>
    <s v="him"/>
    <s v="uda "/>
    <s v="Huda Ibrahim - Dammam"/>
    <e v="#NAME?"/>
    <n v="8"/>
    <n v="2026"/>
    <m/>
    <m/>
    <m/>
  </r>
  <r>
    <s v="ORD-1020"/>
    <d v="2026-08-28T00:00:00"/>
    <s v="Ali Saeed"/>
    <s v="Qatif"/>
    <x v="1"/>
    <x v="1"/>
    <n v="2"/>
    <n v="120"/>
    <n v="0.15"/>
    <s v="Mada"/>
    <s v="Completed"/>
    <n v="240"/>
    <n v="204"/>
    <s v="Regular"/>
    <s v="Ali Saeed"/>
    <m/>
    <s v="ALI SAEED"/>
    <s v="Ali Saeed"/>
    <n v="9"/>
    <s v="Ali"/>
    <s v="eed"/>
    <s v="li S"/>
    <s v="Ali Saeed - Qatif"/>
    <e v="#NAME?"/>
    <n v="8"/>
    <n v="2026"/>
    <m/>
    <m/>
    <m/>
  </r>
  <r>
    <s v="ORD-1028"/>
    <d v="2026-08-28T00:00:00"/>
    <s v="Sara Mohammed"/>
    <s v="Jeddah"/>
    <x v="1"/>
    <x v="6"/>
    <n v="3"/>
    <n v="75"/>
    <n v="0.15"/>
    <s v="Credit Card"/>
    <s v="Completed"/>
    <n v="225"/>
    <n v="191.25"/>
    <s v="Regular"/>
    <s v="Sara Mohammed"/>
    <m/>
    <s v="SARA MOHAMMED"/>
    <s v="Sara Mohammed"/>
    <n v="13"/>
    <s v="Sar"/>
    <s v="med"/>
    <s v="ara "/>
    <s v="Sara Mohammed - Jeddah"/>
    <e v="#NAME?"/>
    <n v="8"/>
    <n v="2026"/>
    <m/>
    <m/>
    <m/>
  </r>
  <r>
    <s v="ORD-1026"/>
    <d v="2026-08-04T00:00:00"/>
    <s v="Maha Abdullah"/>
    <s v="Jeddah"/>
    <x v="2"/>
    <x v="4"/>
    <n v="1"/>
    <n v="90"/>
    <n v="0"/>
    <s v="Cash on Delivery"/>
    <s v="Returned"/>
    <n v="90"/>
    <n v="90"/>
    <s v="Regular"/>
    <s v="Maha Abdullah"/>
    <m/>
    <s v="MAHA ABDULLAH"/>
    <s v="Maha Abdullah"/>
    <n v="13"/>
    <s v="Mah"/>
    <s v="lah"/>
    <s v="aha "/>
    <s v="Maha Abdullah - Jeddah"/>
    <e v="#NAME?"/>
    <n v="8"/>
    <n v="2026"/>
    <m/>
    <m/>
    <m/>
  </r>
  <r>
    <s v="ORD-1027"/>
    <d v="2026-08-31T00:00:00"/>
    <s v="Ali Saeed"/>
    <s v="Jeddah"/>
    <x v="3"/>
    <x v="7"/>
    <n v="1"/>
    <n v="80"/>
    <n v="0"/>
    <s v="Apple Pay"/>
    <s v="Returned"/>
    <n v="80"/>
    <n v="80"/>
    <s v="Regular"/>
    <s v="Ali Saeed"/>
    <m/>
    <s v="ALI SAEED"/>
    <s v="Ali Saeed"/>
    <n v="9"/>
    <s v="Ali"/>
    <s v="eed"/>
    <s v="li S"/>
    <s v="Ali Saeed - Jeddah"/>
    <e v="#NAME?"/>
    <n v="8"/>
    <n v="2026"/>
    <m/>
    <m/>
    <m/>
  </r>
  <r>
    <s v="ORD-1012"/>
    <d v="2026-08-31T00:00:00"/>
    <s v="Khalid Omar"/>
    <s v="Khobar"/>
    <x v="3"/>
    <x v="5"/>
    <n v="1"/>
    <n v="160"/>
    <n v="0"/>
    <s v="Mada"/>
    <s v="Completed"/>
    <n v="160"/>
    <n v="160"/>
    <s v="Regular"/>
    <s v="Khalid Omar"/>
    <m/>
    <s v="KHALID OMAR"/>
    <s v="Khalid Omar"/>
    <n v="11"/>
    <s v="Kha"/>
    <s v="mar"/>
    <s v="hali"/>
    <s v="Khalid Omar - Khobar"/>
    <e v="#NAME?"/>
    <n v="8"/>
    <n v="2026"/>
    <m/>
    <m/>
    <m/>
  </r>
  <r>
    <s v="ORD-1029"/>
    <d v="2026-08-18T00:00:00"/>
    <s v="Ali Saeed"/>
    <s v="Jeddah"/>
    <x v="1"/>
    <x v="1"/>
    <n v="2"/>
    <n v="120"/>
    <n v="0.1"/>
    <s v="Apple Pay"/>
    <s v="Cancelled"/>
    <n v="240"/>
    <n v="216"/>
    <s v="Regular"/>
    <s v="Ali Saeed"/>
    <m/>
    <s v="ALI SAEED"/>
    <s v="Ali Saeed"/>
    <n v="9"/>
    <s v="Ali"/>
    <s v="eed"/>
    <s v="li S"/>
    <s v="Ali Saeed - Jeddah"/>
    <e v="#NAME?"/>
    <n v="8"/>
    <n v="2026"/>
    <m/>
    <m/>
    <m/>
  </r>
  <r>
    <s v="ORD-1015"/>
    <d v="2026-08-13T00:00:00"/>
    <s v="Huda Ibrahim"/>
    <s v="Dammam"/>
    <x v="3"/>
    <x v="7"/>
    <n v="2"/>
    <n v="80"/>
    <n v="0.05"/>
    <s v="Apple Pay"/>
    <s v="Completed"/>
    <n v="160"/>
    <n v="152"/>
    <s v="Regular"/>
    <s v="Huda Ibrahim"/>
    <m/>
    <s v="HUDA IBRAHIM"/>
    <s v="Huda Ibrahim"/>
    <n v="12"/>
    <s v="Hud"/>
    <s v="him"/>
    <s v="uda "/>
    <s v="Huda Ibrahim - Dammam"/>
    <e v="#NAME?"/>
    <n v="8"/>
    <n v="2026"/>
    <m/>
    <m/>
    <m/>
  </r>
  <r>
    <s v="ORD-1002"/>
    <d v="2026-08-03T00:00:00"/>
    <s v="Yousef Nasser"/>
    <s v="Khobar"/>
    <x v="1"/>
    <x v="6"/>
    <n v="2"/>
    <n v="75"/>
    <n v="0"/>
    <s v="Mada"/>
    <s v="Completed"/>
    <n v="150"/>
    <n v="150"/>
    <s v="Regular"/>
    <s v="Yousef Nasser"/>
    <m/>
    <s v="YOUSEF NASSER"/>
    <s v="Yousef Nasser"/>
    <n v="13"/>
    <s v="You"/>
    <s v="ser"/>
    <s v="ouse"/>
    <s v="Yousef Nasser - Khobar"/>
    <e v="#NAME?"/>
    <n v="8"/>
    <n v="2026"/>
    <m/>
    <m/>
    <m/>
  </r>
  <r>
    <s v="ORD-1034"/>
    <d v="2026-08-04T00:00:00"/>
    <s v="Yousef Nasser"/>
    <s v="Riyadh"/>
    <x v="1"/>
    <x v="1"/>
    <n v="1"/>
    <n v="120"/>
    <n v="0.15"/>
    <s v="Cash on Delivery"/>
    <s v="Completed"/>
    <n v="120"/>
    <n v="102"/>
    <s v="Regular"/>
    <s v="Yousef Nasser"/>
    <m/>
    <s v="YOUSEF NASSER"/>
    <s v="Yousef Nasser"/>
    <n v="13"/>
    <s v="You"/>
    <s v="ser"/>
    <s v="ouse"/>
    <s v="Yousef Nasser - Riyadh"/>
    <e v="#NAME?"/>
    <n v="8"/>
    <n v="2026"/>
    <m/>
    <m/>
    <m/>
  </r>
  <r>
    <s v="ORD-1033"/>
    <d v="2026-08-20T00:00:00"/>
    <s v="Reem Fahad"/>
    <s v="Dammam"/>
    <x v="1"/>
    <x v="1"/>
    <n v="2"/>
    <n v="120"/>
    <n v="0.05"/>
    <s v="Cash on Delivery"/>
    <s v="Returned"/>
    <n v="240"/>
    <n v="228"/>
    <s v="Regular"/>
    <s v="Reem Fahad"/>
    <m/>
    <s v="REEM FAHAD"/>
    <s v="Reem Fahad"/>
    <n v="10"/>
    <s v="Ree"/>
    <s v="had"/>
    <s v="eem "/>
    <s v="Reem Fahad - Dammam"/>
    <e v="#NAME?"/>
    <n v="8"/>
    <n v="2026"/>
    <m/>
    <m/>
    <m/>
  </r>
  <r>
    <s v="ORD-1023"/>
    <d v="2026-08-19T00:00:00"/>
    <s v="Fahad Hassan"/>
    <s v="Qatif"/>
    <x v="1"/>
    <x v="6"/>
    <n v="1"/>
    <n v="75"/>
    <n v="0"/>
    <s v="Mada"/>
    <s v="Completed"/>
    <n v="75"/>
    <n v="75"/>
    <s v="Regular"/>
    <s v="Fahad Hassan"/>
    <m/>
    <s v="FAHAD HASSAN"/>
    <s v="Fahad Hassan"/>
    <n v="12"/>
    <s v="Fah"/>
    <s v="san"/>
    <s v="ahad"/>
    <s v="Fahad Hassan - Qatif"/>
    <e v="#NAME?"/>
    <n v="8"/>
    <n v="2026"/>
    <m/>
    <m/>
    <m/>
  </r>
  <r>
    <s v="ORD-1035"/>
    <d v="2026-08-26T00:00:00"/>
    <s v="Yousef Nasser"/>
    <s v="Khobar"/>
    <x v="0"/>
    <x v="0"/>
    <n v="3"/>
    <n v="140"/>
    <n v="0"/>
    <s v="Cash on Delivery"/>
    <s v="Returned"/>
    <n v="420"/>
    <n v="420"/>
    <s v="High Value"/>
    <s v="Yousef Nasser"/>
    <m/>
    <s v="YOUSEF NASSER"/>
    <s v="Yousef Nasser"/>
    <n v="13"/>
    <s v="You"/>
    <s v="ser"/>
    <s v="ouse"/>
    <s v="Yousef Nasser - Khobar"/>
    <e v="#NAME?"/>
    <n v="8"/>
    <n v="2026"/>
    <m/>
    <m/>
    <m/>
  </r>
  <r>
    <s v="ORD-1036"/>
    <d v="2026-08-05T00:00:00"/>
    <s v="Ahmed Ali"/>
    <s v="Riyadh"/>
    <x v="1"/>
    <x v="2"/>
    <n v="2"/>
    <n v="150"/>
    <n v="0"/>
    <s v="Cash on Delivery"/>
    <s v="Returned"/>
    <n v="300"/>
    <n v="300"/>
    <s v="High Value"/>
    <s v="Ahmed Ali"/>
    <m/>
    <s v="AHMED ALI"/>
    <s v="Ahmed Ali"/>
    <n v="9"/>
    <s v="Ahm"/>
    <s v="Ali"/>
    <s v="hmed"/>
    <s v="Ahmed Ali - Riyadh"/>
    <e v="#NAME?"/>
    <n v="8"/>
    <n v="2026"/>
    <m/>
    <m/>
    <m/>
  </r>
  <r>
    <s v="ORD-1024"/>
    <d v="2026-08-20T00:00:00"/>
    <s v="Yousef Nasser"/>
    <s v="Riyadh"/>
    <x v="1"/>
    <x v="6"/>
    <n v="1"/>
    <n v="75"/>
    <n v="0"/>
    <s v="Credit Card"/>
    <s v="Completed"/>
    <n v="75"/>
    <n v="75"/>
    <s v="Regular"/>
    <s v="Yousef Nasser"/>
    <m/>
    <s v="YOUSEF NASSER"/>
    <s v="Yousef Nasser"/>
    <n v="13"/>
    <s v="You"/>
    <s v="ser"/>
    <s v="ouse"/>
    <s v="Yousef Nasser - Riyadh"/>
    <e v="#NAME?"/>
    <n v="8"/>
    <n v="2026"/>
    <m/>
    <m/>
    <m/>
  </r>
  <r>
    <s v="ORD-1031"/>
    <d v="2026-08-16T00:00:00"/>
    <s v="Khalid Omar"/>
    <s v="Riyadh"/>
    <x v="1"/>
    <x v="6"/>
    <n v="1"/>
    <n v="75"/>
    <n v="0"/>
    <s v="Credit Card"/>
    <s v="Completed"/>
    <n v="75"/>
    <n v="75"/>
    <s v="Regular"/>
    <s v="Khalid Omar"/>
    <m/>
    <s v="KHALID OMAR"/>
    <s v="Khalid Omar"/>
    <n v="11"/>
    <s v="Kha"/>
    <s v="mar"/>
    <s v="hali"/>
    <s v="Khalid Omar - Riyadh"/>
    <e v="#NAME?"/>
    <n v="8"/>
    <n v="2026"/>
    <m/>
    <m/>
    <m/>
  </r>
  <r>
    <s v="ORD-1038"/>
    <d v="2026-08-24T00:00:00"/>
    <s v="Fahad Hassan"/>
    <s v="Khobar"/>
    <x v="1"/>
    <x v="6"/>
    <n v="1"/>
    <n v="75"/>
    <n v="0.1"/>
    <s v="Apple Pay"/>
    <s v="Completed"/>
    <n v="75"/>
    <n v="67.5"/>
    <s v="Regular"/>
    <s v="Fahad Hassan"/>
    <m/>
    <s v="FAHAD HASSAN"/>
    <s v="Fahad Hassan"/>
    <n v="12"/>
    <s v="Fah"/>
    <s v="san"/>
    <s v="ahad"/>
    <s v="Fahad Hassan - Khobar"/>
    <e v="#NAME?"/>
    <n v="8"/>
    <n v="2026"/>
    <m/>
    <m/>
    <m/>
  </r>
  <r>
    <s v="ORD-1040"/>
    <d v="2026-08-30T00:00:00"/>
    <s v="Maha Abdullah"/>
    <s v="Khobar"/>
    <x v="0"/>
    <x v="0"/>
    <n v="2"/>
    <n v="140"/>
    <n v="0"/>
    <s v="Cash on Delivery"/>
    <s v="Cancelled"/>
    <n v="280"/>
    <n v="280"/>
    <s v="Regular"/>
    <s v="Maha Abdullah"/>
    <m/>
    <s v="MAHA ABDULLAH"/>
    <s v="Maha Abdullah"/>
    <n v="13"/>
    <s v="Mah"/>
    <s v="lah"/>
    <s v="aha "/>
    <s v="Maha Abdullah - Khobar"/>
    <e v="#NAME?"/>
    <n v="8"/>
    <n v="2026"/>
    <m/>
    <m/>
    <m/>
  </r>
  <r>
    <m/>
    <m/>
    <m/>
    <m/>
    <x v="4"/>
    <x v="8"/>
    <m/>
    <m/>
    <m/>
    <m/>
    <m/>
    <n v="0"/>
    <n v="0"/>
    <s v="Regular"/>
    <s v=""/>
    <m/>
    <s v=""/>
    <s v=""/>
    <n v="0"/>
    <s v=""/>
    <s v=""/>
    <s v=""/>
    <s v=" - "/>
    <e v="#NAME?"/>
    <n v="1"/>
    <n v="190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ORD-1007"/>
    <d v="2026-08-18T00:00:00"/>
    <s v="Yousef Nasser"/>
    <s v="Jeddah"/>
    <x v="0"/>
    <x v="0"/>
    <n v="4"/>
    <n v="250"/>
    <n v="0.15"/>
    <s v="Cash on Delivery"/>
    <x v="0"/>
    <n v="1000"/>
    <n v="850"/>
    <s v="High Value"/>
    <s v="Yousef Nasser"/>
    <s v="Maha Abdullah"/>
    <s v="YOUSEF NASSER"/>
    <s v="Yousef Nasser"/>
    <n v="13"/>
    <s v="You"/>
    <s v="ser"/>
    <s v="ouse"/>
    <s v="Yousef Nasser - Jeddah"/>
    <m/>
    <n v="8"/>
    <n v="2026"/>
    <m/>
    <m/>
    <m/>
  </r>
  <r>
    <s v="ORD-1013"/>
    <d v="2026-08-23T00:00:00"/>
    <s v="Yousef Nasser"/>
    <s v="Jeddah"/>
    <x v="1"/>
    <x v="1"/>
    <n v="4"/>
    <n v="90"/>
    <n v="0"/>
    <s v="Mada"/>
    <x v="1"/>
    <n v="360"/>
    <n v="360"/>
    <s v="High Value"/>
    <s v="Yousef Nasser"/>
    <s v="Ali Saeed"/>
    <s v="YOUSEF NASSER"/>
    <s v="Yousef Nasser"/>
    <n v="13"/>
    <s v="You"/>
    <s v="ser"/>
    <s v="ouse"/>
    <s v="Yousef Nasser - Jeddah"/>
    <m/>
    <n v="8"/>
    <n v="2026"/>
    <m/>
    <m/>
    <m/>
  </r>
  <r>
    <s v="ORD-1017"/>
    <d v="2026-08-29T00:00:00"/>
    <s v="Yousef Nasser"/>
    <s v="Riyadh"/>
    <x v="0"/>
    <x v="2"/>
    <n v="3"/>
    <n v="140"/>
    <n v="0.15"/>
    <s v="Apple Pay"/>
    <x v="1"/>
    <n v="420"/>
    <n v="357"/>
    <s v="High Value"/>
    <s v="Yousef Nasser"/>
    <m/>
    <s v="YOUSEF NASSER"/>
    <s v="Yousef Nasser"/>
    <n v="13"/>
    <s v="You"/>
    <s v="ser"/>
    <s v="ouse"/>
    <s v="Yousef Nasser - Riyadh"/>
    <m/>
    <n v="8"/>
    <n v="2026"/>
    <m/>
    <m/>
    <m/>
  </r>
  <r>
    <s v="ORD-1016"/>
    <d v="2026-08-27T00:00:00"/>
    <s v="Yousef Nasser"/>
    <s v="Qatif"/>
    <x v="0"/>
    <x v="2"/>
    <n v="3"/>
    <n v="140"/>
    <n v="0"/>
    <s v="Credit Card"/>
    <x v="2"/>
    <n v="420"/>
    <n v="420"/>
    <s v="High Value"/>
    <s v="Yousef Nasser"/>
    <m/>
    <s v="YOUSEF NASSER"/>
    <s v="Yousef Nasser"/>
    <n v="13"/>
    <s v="You"/>
    <s v="ser"/>
    <s v="ouse"/>
    <s v="Yousef Nasser - Qatif"/>
    <m/>
    <n v="8"/>
    <n v="2026"/>
    <m/>
    <m/>
    <m/>
  </r>
  <r>
    <s v="ORD-1002"/>
    <d v="2026-08-03T00:00:00"/>
    <s v="Yousef Nasser"/>
    <s v="Khobar"/>
    <x v="2"/>
    <x v="3"/>
    <n v="2"/>
    <n v="75"/>
    <n v="0"/>
    <s v="Mada"/>
    <x v="1"/>
    <n v="150"/>
    <n v="150"/>
    <s v="Regular"/>
    <s v="Yousef Nasser"/>
    <m/>
    <s v="YOUSEF NASSER"/>
    <s v="Yousef Nasser"/>
    <n v="13"/>
    <s v="You"/>
    <s v="ser"/>
    <s v="ouse"/>
    <s v="Yousef Nasser - Khobar"/>
    <m/>
    <n v="8"/>
    <n v="2026"/>
    <m/>
    <m/>
    <m/>
  </r>
  <r>
    <s v="ORD-1034"/>
    <d v="2026-08-04T00:00:00"/>
    <s v="Yousef Nasser"/>
    <s v="Riyadh"/>
    <x v="2"/>
    <x v="4"/>
    <n v="1"/>
    <n v="120"/>
    <n v="0.15"/>
    <s v="Cash on Delivery"/>
    <x v="1"/>
    <n v="120"/>
    <n v="102"/>
    <s v="Regular"/>
    <s v="Yousef Nasser"/>
    <m/>
    <s v="YOUSEF NASSER"/>
    <s v="Yousef Nasser"/>
    <n v="13"/>
    <s v="You"/>
    <s v="ser"/>
    <s v="ouse"/>
    <s v="Yousef Nasser - Riyadh"/>
    <m/>
    <n v="8"/>
    <n v="2026"/>
    <m/>
    <m/>
    <m/>
  </r>
  <r>
    <s v="ORD-1035"/>
    <d v="2026-08-26T00:00:00"/>
    <s v="Yousef Nasser"/>
    <s v="Khobar"/>
    <x v="0"/>
    <x v="2"/>
    <n v="3"/>
    <n v="140"/>
    <n v="0"/>
    <s v="Cash on Delivery"/>
    <x v="2"/>
    <n v="420"/>
    <n v="420"/>
    <s v="High Value"/>
    <s v="Yousef Nasser"/>
    <m/>
    <s v="YOUSEF NASSER"/>
    <s v="Yousef Nasser"/>
    <n v="13"/>
    <s v="You"/>
    <s v="ser"/>
    <s v="ouse"/>
    <s v="Yousef Nasser - Khobar"/>
    <m/>
    <n v="8"/>
    <n v="2026"/>
    <m/>
    <m/>
    <m/>
  </r>
  <r>
    <s v="ORD-1024"/>
    <d v="2026-08-20T00:00:00"/>
    <s v="Yousef Nasser"/>
    <s v="Riyadh"/>
    <x v="2"/>
    <x v="3"/>
    <n v="1"/>
    <n v="75"/>
    <n v="0"/>
    <s v="Credit Card"/>
    <x v="1"/>
    <n v="75"/>
    <n v="75"/>
    <s v="Regular"/>
    <s v="Yousef Nasser"/>
    <m/>
    <s v="YOUSEF NASSER"/>
    <s v="Yousef Nasser"/>
    <n v="13"/>
    <s v="You"/>
    <s v="ser"/>
    <s v="ouse"/>
    <s v="Yousef Nasser - Riyadh"/>
    <m/>
    <n v="8"/>
    <n v="2026"/>
    <m/>
    <m/>
    <m/>
  </r>
  <r>
    <s v="ORD-1021"/>
    <d v="2026-08-13T00:00:00"/>
    <s v="Sara Mohammed"/>
    <s v="Khobar"/>
    <x v="0"/>
    <x v="2"/>
    <n v="4"/>
    <n v="140"/>
    <n v="0.05"/>
    <s v="Cash on Delivery"/>
    <x v="1"/>
    <n v="560"/>
    <n v="532"/>
    <s v="High Value"/>
    <s v="Sara Mohammed"/>
    <s v="Sara Mohammed"/>
    <s v="SARA MOHAMMED"/>
    <s v="Sara Mohammed"/>
    <n v="13"/>
    <s v="Sar"/>
    <s v="med"/>
    <s v="ara "/>
    <s v="Sara Mohammed - Khobar"/>
    <m/>
    <n v="8"/>
    <n v="2026"/>
    <m/>
    <m/>
    <m/>
  </r>
  <r>
    <s v="ORD-1006"/>
    <d v="2026-08-18T00:00:00"/>
    <s v="Sara Mohammed"/>
    <s v="Qatif"/>
    <x v="0"/>
    <x v="0"/>
    <n v="3"/>
    <n v="250"/>
    <n v="0"/>
    <s v="Mada"/>
    <x v="0"/>
    <n v="750"/>
    <n v="750"/>
    <s v="High Value"/>
    <s v="Sara Mohammed"/>
    <s v="Fahad Hassan"/>
    <s v="SARA MOHAMMED"/>
    <s v="Sara Mohammed"/>
    <n v="13"/>
    <s v="Sar"/>
    <s v="med"/>
    <s v="ara "/>
    <s v="Sara Mohammed - Qatif"/>
    <m/>
    <n v="8"/>
    <n v="2026"/>
    <m/>
    <m/>
    <m/>
  </r>
  <r>
    <s v="ORD-1032"/>
    <d v="2026-08-08T00:00:00"/>
    <s v="Sara Mohammed"/>
    <s v="Riyadh"/>
    <x v="2"/>
    <x v="4"/>
    <n v="3"/>
    <n v="120"/>
    <n v="0"/>
    <s v="Cash on Delivery"/>
    <x v="1"/>
    <n v="360"/>
    <n v="360"/>
    <s v="High Value"/>
    <s v="Sara Mohammed"/>
    <m/>
    <s v="SARA MOHAMMED"/>
    <s v="Sara Mohammed"/>
    <n v="13"/>
    <s v="Sar"/>
    <s v="med"/>
    <s v="ara "/>
    <s v="Sara Mohammed - Riyadh"/>
    <m/>
    <n v="8"/>
    <n v="2026"/>
    <m/>
    <m/>
    <m/>
  </r>
  <r>
    <s v="ORD-1028"/>
    <d v="2026-08-28T00:00:00"/>
    <s v="Sara Mohammed"/>
    <s v="Jeddah"/>
    <x v="2"/>
    <x v="3"/>
    <n v="3"/>
    <n v="75"/>
    <n v="0.15"/>
    <s v="Credit Card"/>
    <x v="1"/>
    <n v="225"/>
    <n v="191.25"/>
    <s v="Regular"/>
    <s v="Sara Mohammed"/>
    <m/>
    <s v="SARA MOHAMMED"/>
    <s v="Sara Mohammed"/>
    <n v="13"/>
    <s v="Sar"/>
    <s v="med"/>
    <s v="ara "/>
    <s v="Sara Mohammed - Jeddah"/>
    <m/>
    <n v="8"/>
    <n v="2026"/>
    <m/>
    <m/>
    <m/>
  </r>
  <r>
    <s v="ORD-1003"/>
    <d v="2026-08-27T00:00:00"/>
    <s v="Reem Fahad"/>
    <s v="Dammam"/>
    <x v="2"/>
    <x v="5"/>
    <n v="4"/>
    <n v="150"/>
    <n v="0"/>
    <s v="Apple Pay"/>
    <x v="2"/>
    <n v="600"/>
    <n v="600"/>
    <s v="High Value"/>
    <s v="Reem Fahad"/>
    <s v="Reem Fahad"/>
    <s v="REEM FAHAD"/>
    <s v="Reem Fahad"/>
    <n v="10"/>
    <s v="Ree"/>
    <s v="had"/>
    <s v="eem "/>
    <s v="Reem Fahad - Dammam"/>
    <m/>
    <n v="8"/>
    <n v="2026"/>
    <m/>
    <m/>
    <m/>
  </r>
  <r>
    <s v="ORD-1005"/>
    <d v="2026-08-04T00:00:00"/>
    <s v="Reem Fahad"/>
    <s v="Jeddah"/>
    <x v="0"/>
    <x v="2"/>
    <n v="2"/>
    <n v="140"/>
    <n v="0.1"/>
    <s v="Apple Pay"/>
    <x v="1"/>
    <n v="280"/>
    <n v="252"/>
    <s v="Regular"/>
    <s v="Reem Fahad"/>
    <m/>
    <s v="REEM FAHAD"/>
    <s v="Reem Fahad"/>
    <n v="10"/>
    <s v="Ree"/>
    <s v="had"/>
    <s v="eem "/>
    <s v="Reem Fahad - Jeddah"/>
    <m/>
    <n v="8"/>
    <n v="2026"/>
    <m/>
    <m/>
    <m/>
  </r>
  <r>
    <s v="ORD-1033"/>
    <d v="2026-08-20T00:00:00"/>
    <s v="Reem Fahad"/>
    <s v="Dammam"/>
    <x v="2"/>
    <x v="4"/>
    <n v="2"/>
    <n v="120"/>
    <n v="0.05"/>
    <s v="Cash on Delivery"/>
    <x v="2"/>
    <n v="240"/>
    <n v="228"/>
    <s v="Regular"/>
    <s v="Reem Fahad"/>
    <m/>
    <s v="REEM FAHAD"/>
    <s v="Reem Fahad"/>
    <n v="10"/>
    <s v="Ree"/>
    <s v="had"/>
    <s v="eem "/>
    <s v="Reem Fahad - Dammam"/>
    <m/>
    <n v="8"/>
    <n v="2026"/>
    <m/>
    <m/>
    <m/>
  </r>
  <r>
    <s v="ORD-1030"/>
    <d v="2026-08-24T00:00:00"/>
    <s v="Nora Salem"/>
    <s v="Riyadh"/>
    <x v="0"/>
    <x v="0"/>
    <n v="2"/>
    <n v="250"/>
    <n v="0.05"/>
    <s v="Cash on Delivery"/>
    <x v="1"/>
    <n v="500"/>
    <n v="475"/>
    <s v="High Value"/>
    <s v="Nora Salem"/>
    <s v="Nora Salem"/>
    <s v="NORA SALEM"/>
    <s v="Nora Salem"/>
    <n v="10"/>
    <s v="Nor"/>
    <s v="lem"/>
    <s v="ora "/>
    <s v="Nora Salem - Riyadh"/>
    <m/>
    <n v="8"/>
    <n v="2026"/>
    <m/>
    <m/>
    <m/>
  </r>
  <r>
    <s v="ORD-1018"/>
    <d v="2026-08-22T00:00:00"/>
    <s v="Nora Salem"/>
    <s v="Dammam"/>
    <x v="3"/>
    <x v="6"/>
    <n v="2"/>
    <n v="80"/>
    <n v="0"/>
    <s v="Cash on Delivery"/>
    <x v="0"/>
    <n v="160"/>
    <n v="160"/>
    <s v="Regular"/>
    <s v="Nora Salem"/>
    <m/>
    <s v="NORA SALEM"/>
    <s v="Nora Salem"/>
    <n v="10"/>
    <s v="Nor"/>
    <s v="lem"/>
    <s v="ora "/>
    <s v="Nora Salem - Dammam"/>
    <m/>
    <n v="8"/>
    <n v="2026"/>
    <m/>
    <m/>
    <m/>
  </r>
  <r>
    <s v="ORD-1011"/>
    <d v="2026-08-23T00:00:00"/>
    <s v="Maha Abdullah"/>
    <s v="Qatif"/>
    <x v="2"/>
    <x v="5"/>
    <n v="3"/>
    <n v="150"/>
    <n v="0"/>
    <s v="Cash on Delivery"/>
    <x v="0"/>
    <n v="450"/>
    <n v="450"/>
    <s v="High Value"/>
    <s v="Maha Abdullah"/>
    <m/>
    <s v="MAHA ABDULLAH"/>
    <s v="Maha Abdullah"/>
    <n v="13"/>
    <s v="Mah"/>
    <s v="lah"/>
    <s v="aha "/>
    <s v="Maha Abdullah - Qatif"/>
    <m/>
    <n v="8"/>
    <n v="2026"/>
    <m/>
    <m/>
    <m/>
  </r>
  <r>
    <s v="ORD-1037"/>
    <d v="2026-08-30T00:00:00"/>
    <s v="Maha Abdullah"/>
    <s v="Riyadh"/>
    <x v="3"/>
    <x v="6"/>
    <n v="4"/>
    <n v="80"/>
    <n v="0.15"/>
    <s v="Apple Pay"/>
    <x v="1"/>
    <n v="320"/>
    <n v="272"/>
    <s v="Regular"/>
    <s v="Maha Abdullah"/>
    <m/>
    <s v="MAHA ABDULLAH"/>
    <s v="Maha Abdullah"/>
    <n v="13"/>
    <s v="Mah"/>
    <s v="lah"/>
    <s v="aha "/>
    <s v="Maha Abdullah - Riyadh"/>
    <m/>
    <n v="8"/>
    <n v="2026"/>
    <m/>
    <m/>
    <m/>
  </r>
  <r>
    <s v="ORD-1026"/>
    <d v="2026-08-04T00:00:00"/>
    <s v="Maha Abdullah"/>
    <s v="Jeddah"/>
    <x v="1"/>
    <x v="1"/>
    <n v="1"/>
    <n v="90"/>
    <n v="0"/>
    <s v="Cash on Delivery"/>
    <x v="2"/>
    <n v="90"/>
    <n v="90"/>
    <s v="Regular"/>
    <s v="Maha Abdullah"/>
    <m/>
    <s v="MAHA ABDULLAH"/>
    <s v="Maha Abdullah"/>
    <n v="13"/>
    <s v="Mah"/>
    <s v="lah"/>
    <s v="aha "/>
    <s v="Maha Abdullah - Jeddah"/>
    <m/>
    <n v="8"/>
    <n v="2026"/>
    <m/>
    <m/>
    <m/>
  </r>
  <r>
    <s v="ORD-1040"/>
    <d v="2026-08-30T00:00:00"/>
    <s v="Maha Abdullah"/>
    <s v="Khobar"/>
    <x v="0"/>
    <x v="2"/>
    <n v="2"/>
    <n v="140"/>
    <n v="0"/>
    <s v="Cash on Delivery"/>
    <x v="0"/>
    <n v="280"/>
    <n v="280"/>
    <s v="Regular"/>
    <s v="Maha Abdullah"/>
    <m/>
    <s v="MAHA ABDULLAH"/>
    <s v="Maha Abdullah"/>
    <n v="13"/>
    <s v="Mah"/>
    <s v="lah"/>
    <s v="aha "/>
    <s v="Maha Abdullah - Khobar"/>
    <m/>
    <n v="8"/>
    <n v="2026"/>
    <m/>
    <m/>
    <m/>
  </r>
  <r>
    <s v="ORD-1012"/>
    <d v="2026-08-31T00:00:00"/>
    <s v="Khalid Omar"/>
    <s v="Khobar"/>
    <x v="3"/>
    <x v="7"/>
    <n v="1"/>
    <n v="160"/>
    <n v="0"/>
    <s v="Mada"/>
    <x v="1"/>
    <n v="160"/>
    <n v="160"/>
    <s v="Regular"/>
    <s v="Khalid Omar"/>
    <m/>
    <s v="KHALID OMAR"/>
    <s v="Khalid Omar"/>
    <n v="11"/>
    <s v="Kha"/>
    <s v="mar"/>
    <s v="hali"/>
    <s v="Khalid Omar - Khobar"/>
    <m/>
    <n v="8"/>
    <n v="2026"/>
    <m/>
    <m/>
    <m/>
  </r>
  <r>
    <s v="ORD-1031"/>
    <d v="2026-08-16T00:00:00"/>
    <s v="Khalid Omar"/>
    <s v="Riyadh"/>
    <x v="2"/>
    <x v="3"/>
    <n v="1"/>
    <n v="75"/>
    <n v="0"/>
    <s v="Credit Card"/>
    <x v="1"/>
    <n v="75"/>
    <n v="75"/>
    <s v="Regular"/>
    <s v="Khalid Omar"/>
    <m/>
    <s v="KHALID OMAR"/>
    <s v="Khalid Omar"/>
    <n v="11"/>
    <s v="Kha"/>
    <s v="mar"/>
    <s v="hali"/>
    <s v="Khalid Omar - Riyadh"/>
    <m/>
    <n v="8"/>
    <n v="2026"/>
    <m/>
    <m/>
    <m/>
  </r>
  <r>
    <s v="ORD-1025"/>
    <d v="2026-08-04T00:00:00"/>
    <s v="Huda Ibrahim"/>
    <s v="Khobar"/>
    <x v="2"/>
    <x v="4"/>
    <n v="4"/>
    <n v="120"/>
    <n v="0"/>
    <s v="Cash on Delivery"/>
    <x v="1"/>
    <n v="480"/>
    <n v="480"/>
    <s v="High Value"/>
    <s v="Huda Ibrahim"/>
    <s v="Huda Ibrahim"/>
    <s v="HUDA IBRAHIM"/>
    <s v="Huda Ibrahim"/>
    <n v="12"/>
    <s v="Hud"/>
    <s v="him"/>
    <s v="uda "/>
    <s v="Huda Ibrahim - Khobar"/>
    <m/>
    <n v="8"/>
    <n v="2026"/>
    <m/>
    <m/>
    <m/>
  </r>
  <r>
    <s v="ORD-1009"/>
    <d v="2026-08-24T00:00:00"/>
    <s v="Huda Ibrahim"/>
    <s v="Jeddah"/>
    <x v="1"/>
    <x v="1"/>
    <n v="4"/>
    <n v="90"/>
    <n v="0"/>
    <s v="Mada"/>
    <x v="1"/>
    <n v="360"/>
    <n v="360"/>
    <s v="High Value"/>
    <s v="Huda Ibrahim"/>
    <s v="Yousef Nasser"/>
    <s v="HUDA IBRAHIM"/>
    <s v="Huda Ibrahim"/>
    <n v="12"/>
    <s v="Hud"/>
    <s v="him"/>
    <s v="uda "/>
    <s v="Huda Ibrahim - Jeddah"/>
    <m/>
    <n v="8"/>
    <n v="2026"/>
    <m/>
    <m/>
    <m/>
  </r>
  <r>
    <s v="ORD-1010"/>
    <d v="2026-08-05T00:00:00"/>
    <s v="Huda Ibrahim"/>
    <s v="Khobar"/>
    <x v="0"/>
    <x v="2"/>
    <n v="2"/>
    <n v="140"/>
    <n v="0"/>
    <s v="Mada"/>
    <x v="2"/>
    <n v="280"/>
    <n v="280"/>
    <s v="Regular"/>
    <s v="Huda Ibrahim"/>
    <s v="Khalid Omar"/>
    <s v="HUDA IBRAHIM"/>
    <s v="Huda Ibrahim"/>
    <n v="12"/>
    <s v="Hud"/>
    <s v="him"/>
    <s v="uda "/>
    <s v="Huda Ibrahim - Khobar"/>
    <m/>
    <n v="8"/>
    <n v="2026"/>
    <m/>
    <m/>
    <m/>
  </r>
  <r>
    <s v="ORD-1014"/>
    <d v="2026-08-04T00:00:00"/>
    <s v="Huda Ibrahim"/>
    <s v="Dammam"/>
    <x v="2"/>
    <x v="4"/>
    <n v="2"/>
    <n v="120"/>
    <n v="0.1"/>
    <s v="Apple Pay"/>
    <x v="1"/>
    <n v="240"/>
    <n v="216"/>
    <s v="Regular"/>
    <s v="Huda Ibrahim"/>
    <m/>
    <s v="HUDA IBRAHIM"/>
    <s v="Huda Ibrahim"/>
    <n v="12"/>
    <s v="Hud"/>
    <s v="him"/>
    <s v="uda "/>
    <s v="Huda Ibrahim - Dammam"/>
    <m/>
    <n v="8"/>
    <n v="2026"/>
    <m/>
    <m/>
    <m/>
  </r>
  <r>
    <s v="ORD-1015"/>
    <d v="2026-08-13T00:00:00"/>
    <s v="Huda Ibrahim"/>
    <s v="Dammam"/>
    <x v="3"/>
    <x v="6"/>
    <n v="2"/>
    <n v="80"/>
    <n v="0.05"/>
    <s v="Apple Pay"/>
    <x v="1"/>
    <n v="160"/>
    <n v="152"/>
    <s v="Regular"/>
    <s v="Huda Ibrahim"/>
    <m/>
    <s v="HUDA IBRAHIM"/>
    <s v="Huda Ibrahim"/>
    <n v="12"/>
    <s v="Hud"/>
    <s v="him"/>
    <s v="uda "/>
    <s v="Huda Ibrahim - Dammam"/>
    <m/>
    <n v="8"/>
    <n v="2026"/>
    <m/>
    <m/>
    <m/>
  </r>
  <r>
    <s v="ORD-1008"/>
    <d v="2026-08-08T00:00:00"/>
    <s v="Fahad Hassan"/>
    <s v="Riyadh"/>
    <x v="3"/>
    <x v="7"/>
    <n v="3"/>
    <n v="160"/>
    <n v="0"/>
    <s v="Mada"/>
    <x v="0"/>
    <n v="480"/>
    <n v="480"/>
    <s v="High Value"/>
    <s v="Fahad Hassan"/>
    <s v="Ahmed Ali"/>
    <s v="FAHAD HASSAN"/>
    <s v="Fahad Hassan"/>
    <n v="12"/>
    <s v="Fah"/>
    <s v="san"/>
    <s v="ahad"/>
    <s v="Fahad Hassan - Riyadh"/>
    <m/>
    <n v="8"/>
    <n v="2026"/>
    <m/>
    <m/>
    <m/>
  </r>
  <r>
    <s v="ORD-1019"/>
    <d v="2026-08-01T00:00:00"/>
    <s v="Fahad Hassan"/>
    <s v="Khobar"/>
    <x v="3"/>
    <x v="6"/>
    <n v="3"/>
    <n v="80"/>
    <n v="0"/>
    <s v="Credit Card"/>
    <x v="0"/>
    <n v="240"/>
    <n v="240"/>
    <s v="Regular"/>
    <s v="Fahad Hassan"/>
    <m/>
    <s v="FAHAD HASSAN"/>
    <s v="Fahad Hassan"/>
    <n v="12"/>
    <s v="Fah"/>
    <s v="san"/>
    <s v="ahad"/>
    <s v="Fahad Hassan - Khobar"/>
    <m/>
    <n v="8"/>
    <n v="2026"/>
    <m/>
    <m/>
    <m/>
  </r>
  <r>
    <s v="ORD-1022"/>
    <d v="2026-08-15T00:00:00"/>
    <s v="Fahad Hassan"/>
    <s v="Dammam"/>
    <x v="0"/>
    <x v="0"/>
    <n v="1"/>
    <n v="250"/>
    <n v="0"/>
    <s v="Credit Card"/>
    <x v="0"/>
    <n v="250"/>
    <n v="250"/>
    <s v="Regular"/>
    <s v="Fahad Hassan"/>
    <m/>
    <s v="FAHAD HASSAN"/>
    <s v="Fahad Hassan"/>
    <n v="12"/>
    <s v="Fah"/>
    <s v="san"/>
    <s v="ahad"/>
    <s v="Fahad Hassan - Dammam"/>
    <m/>
    <n v="8"/>
    <n v="2026"/>
    <m/>
    <m/>
    <m/>
  </r>
  <r>
    <s v="ORD-1023"/>
    <d v="2026-08-19T00:00:00"/>
    <s v="Fahad Hassan"/>
    <s v="Qatif"/>
    <x v="2"/>
    <x v="3"/>
    <n v="1"/>
    <n v="75"/>
    <n v="0"/>
    <s v="Mada"/>
    <x v="1"/>
    <n v="75"/>
    <n v="75"/>
    <s v="Regular"/>
    <s v="Fahad Hassan"/>
    <m/>
    <s v="FAHAD HASSAN"/>
    <s v="Fahad Hassan"/>
    <n v="12"/>
    <s v="Fah"/>
    <s v="san"/>
    <s v="ahad"/>
    <s v="Fahad Hassan - Qatif"/>
    <m/>
    <n v="8"/>
    <n v="2026"/>
    <m/>
    <m/>
    <m/>
  </r>
  <r>
    <s v="ORD-1038"/>
    <d v="2026-08-24T00:00:00"/>
    <s v="Fahad Hassan"/>
    <s v="Khobar"/>
    <x v="2"/>
    <x v="3"/>
    <n v="1"/>
    <n v="75"/>
    <n v="0.1"/>
    <s v="Apple Pay"/>
    <x v="1"/>
    <n v="75"/>
    <n v="67.5"/>
    <s v="Regular"/>
    <s v="Fahad Hassan"/>
    <m/>
    <s v="FAHAD HASSAN"/>
    <s v="Fahad Hassan"/>
    <n v="12"/>
    <s v="Fah"/>
    <s v="san"/>
    <s v="ahad"/>
    <s v="Fahad Hassan - Khobar"/>
    <m/>
    <n v="8"/>
    <n v="2026"/>
    <m/>
    <m/>
    <m/>
  </r>
  <r>
    <s v="ORD-1039"/>
    <d v="2026-08-10T00:00:00"/>
    <s v="Ali Saeed"/>
    <s v="Riyadh"/>
    <x v="2"/>
    <x v="3"/>
    <n v="3"/>
    <n v="75"/>
    <n v="0"/>
    <s v="Credit Card"/>
    <x v="1"/>
    <n v="225"/>
    <n v="225"/>
    <s v="Regular"/>
    <s v="Ali Saeed"/>
    <m/>
    <s v="ALI SAEED"/>
    <s v="Ali Saeed"/>
    <n v="9"/>
    <s v="Ali"/>
    <s v="eed"/>
    <s v="li S"/>
    <s v="Ali Saeed - Riyadh"/>
    <m/>
    <n v="8"/>
    <n v="2026"/>
    <m/>
    <m/>
    <m/>
  </r>
  <r>
    <s v="ORD-1020"/>
    <d v="2026-08-28T00:00:00"/>
    <s v="Ali Saeed"/>
    <s v="Qatif"/>
    <x v="2"/>
    <x v="4"/>
    <n v="2"/>
    <n v="120"/>
    <n v="0.15"/>
    <s v="Mada"/>
    <x v="1"/>
    <n v="240"/>
    <n v="204"/>
    <s v="Regular"/>
    <s v="Ali Saeed"/>
    <m/>
    <s v="ALI SAEED"/>
    <s v="Ali Saeed"/>
    <n v="9"/>
    <s v="Ali"/>
    <s v="eed"/>
    <s v="li S"/>
    <s v="Ali Saeed - Qatif"/>
    <m/>
    <n v="8"/>
    <n v="2026"/>
    <m/>
    <m/>
    <m/>
  </r>
  <r>
    <s v="ORD-1027"/>
    <d v="2026-08-31T00:00:00"/>
    <s v="Ali Saeed"/>
    <s v="Jeddah"/>
    <x v="3"/>
    <x v="6"/>
    <n v="1"/>
    <n v="80"/>
    <n v="0"/>
    <s v="Apple Pay"/>
    <x v="2"/>
    <n v="80"/>
    <n v="80"/>
    <s v="Regular"/>
    <s v="Ali Saeed"/>
    <m/>
    <s v="ALI SAEED"/>
    <s v="Ali Saeed"/>
    <n v="9"/>
    <s v="Ali"/>
    <s v="eed"/>
    <s v="li S"/>
    <s v="Ali Saeed - Jeddah"/>
    <m/>
    <n v="8"/>
    <n v="2026"/>
    <m/>
    <m/>
    <m/>
  </r>
  <r>
    <s v="ORD-1029"/>
    <d v="2026-08-18T00:00:00"/>
    <s v="Ali Saeed"/>
    <s v="Jeddah"/>
    <x v="2"/>
    <x v="4"/>
    <n v="2"/>
    <n v="120"/>
    <n v="0.1"/>
    <s v="Apple Pay"/>
    <x v="0"/>
    <n v="240"/>
    <n v="216"/>
    <s v="Regular"/>
    <s v="Ali Saeed"/>
    <m/>
    <s v="ALI SAEED"/>
    <s v="Ali Saeed"/>
    <n v="9"/>
    <s v="Ali"/>
    <s v="eed"/>
    <s v="li S"/>
    <s v="Ali Saeed - Jeddah"/>
    <m/>
    <n v="8"/>
    <n v="2026"/>
    <m/>
    <m/>
    <m/>
  </r>
  <r>
    <s v="ORD-1004"/>
    <d v="2026-08-08T00:00:00"/>
    <s v="Ahmed Ali"/>
    <s v="Qatif"/>
    <x v="2"/>
    <x v="3"/>
    <n v="4"/>
    <n v="75"/>
    <n v="0"/>
    <s v="Apple Pay"/>
    <x v="1"/>
    <n v="300"/>
    <n v="300"/>
    <s v="High Value"/>
    <s v="Ahmed Ali"/>
    <m/>
    <s v="AHMED ALI"/>
    <s v="Ahmed Ali"/>
    <n v="9"/>
    <s v="Ahm"/>
    <s v="Ali"/>
    <s v="hmed"/>
    <s v="Ahmed Ali - Qatif"/>
    <m/>
    <n v="8"/>
    <n v="2026"/>
    <m/>
    <m/>
    <m/>
  </r>
  <r>
    <s v="ORD-1001"/>
    <d v="2026-08-21T00:00:00"/>
    <s v="Ahmed Ali"/>
    <s v="Dammam"/>
    <x v="2"/>
    <x v="4"/>
    <n v="2"/>
    <n v="120"/>
    <n v="0.05"/>
    <s v="Mada"/>
    <x v="1"/>
    <n v="240"/>
    <n v="228"/>
    <s v="Regular"/>
    <s v="Ahmed Ali"/>
    <m/>
    <s v="AHMED ALI"/>
    <s v="Ahmed Ali"/>
    <n v="9"/>
    <s v="Ahm"/>
    <s v="Ali"/>
    <s v="hmed"/>
    <s v="Ahmed Ali - Dammam"/>
    <m/>
    <n v="8"/>
    <n v="2026"/>
    <m/>
    <m/>
    <m/>
  </r>
  <r>
    <s v="ORD-1036"/>
    <d v="2026-08-05T00:00:00"/>
    <s v="Ahmed Ali"/>
    <s v="Riyadh"/>
    <x v="2"/>
    <x v="5"/>
    <n v="2"/>
    <n v="150"/>
    <n v="0"/>
    <s v="Cash on Delivery"/>
    <x v="2"/>
    <n v="300"/>
    <n v="300"/>
    <s v="High Value"/>
    <s v="Ahmed Ali"/>
    <m/>
    <s v="AHMED ALI"/>
    <s v="Ahmed Ali"/>
    <n v="9"/>
    <s v="Ahm"/>
    <s v="Ali"/>
    <s v="hmed"/>
    <s v="Ahmed Ali - Riyadh"/>
    <m/>
    <n v="8"/>
    <n v="2026"/>
    <m/>
    <m/>
    <m/>
  </r>
  <r>
    <m/>
    <m/>
    <m/>
    <m/>
    <x v="4"/>
    <x v="8"/>
    <m/>
    <m/>
    <m/>
    <m/>
    <x v="3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ECDF5-A73B-415B-AFB5-8E88D2DD17A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8" firstHeaderRow="1" firstDataRow="1" firstDataCol="1" rowPageCount="1" colPageCount="1"/>
  <pivotFields count="29">
    <pivotField showAll="0"/>
    <pivotField showAll="0"/>
    <pivotField showAll="0"/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axis="axisRow" showAll="0">
      <items count="10">
        <item x="0"/>
        <item x="6"/>
        <item x="2"/>
        <item x="1"/>
        <item x="7"/>
        <item x="5"/>
        <item x="4"/>
        <item x="3"/>
        <item x="8"/>
        <item t="default"/>
      </items>
    </pivotField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4"/>
  </rowFields>
  <rowItems count="15">
    <i>
      <x/>
    </i>
    <i r="1">
      <x v="2"/>
    </i>
    <i>
      <x v="1"/>
    </i>
    <i r="1">
      <x/>
    </i>
    <i>
      <x v="2"/>
    </i>
    <i r="1">
      <x v="2"/>
    </i>
    <i>
      <x v="3"/>
    </i>
    <i r="1">
      <x v="3"/>
    </i>
    <i>
      <x v="4"/>
    </i>
    <i r="1">
      <x/>
    </i>
    <i>
      <x v="6"/>
    </i>
    <i r="1">
      <x v="1"/>
    </i>
    <i>
      <x v="7"/>
    </i>
    <i r="1">
      <x v="1"/>
    </i>
    <i t="grand">
      <x/>
    </i>
  </rowItems>
  <colItems count="1">
    <i/>
  </colItems>
  <pageFields count="1">
    <pageField fld="10" item="1" hier="-1"/>
  </pageFields>
  <dataFields count="1">
    <dataField name="Sum of Net_Sales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1" cacheId="0" applyNumberFormats="0" applyBorderFormats="0" applyFontFormats="0" applyPatternFormats="0" applyAlignmentFormats="0" applyWidthHeightFormats="0" dataCaption="" updatedVersion="8" rowGrandTotals="0" compact="0" compactData="0">
  <location ref="A1:C15" firstHeaderRow="1" firstDataRow="1" firstDataCol="2"/>
  <pivotFields count="29">
    <pivotField name="Order_ID" compact="0" outline="0" multipleItemSelectionAllowed="1" showAll="0"/>
    <pivotField name="Order_Date" compact="0" numFmtId="164" outline="0" multipleItemSelectionAllowed="1" showAll="0"/>
    <pivotField name="Customer" compact="0" outline="0" multipleItemSelectionAllowed="1" showAll="0"/>
    <pivotField name="City" compact="0" outline="0" multipleItemSelectionAllowed="1" showAll="0"/>
    <pivotField name="Category" axis="axisRow" compact="0" outline="0" multipleItemSelectionAllowed="1" showAll="0" sortType="ascending">
      <items count="6">
        <item x="4"/>
        <item x="3"/>
        <item x="1"/>
        <item x="0"/>
        <item x="2"/>
        <item t="default"/>
      </items>
    </pivotField>
    <pivotField name="Product" axis="axisRow" compact="0" outline="0" multipleItemSelectionAllowed="1" showAll="0" sortType="ascending">
      <items count="10">
        <item x="3"/>
        <item x="7"/>
        <item x="0"/>
        <item x="4"/>
        <item x="5"/>
        <item x="2"/>
        <item x="1"/>
        <item x="6"/>
        <item x="8"/>
        <item t="default"/>
      </items>
    </pivotField>
    <pivotField name="Quantity" compact="0" outline="0" multipleItemSelectionAllowed="1" showAll="0"/>
    <pivotField name="Unit_Price" compact="0" numFmtId="165" outline="0" multipleItemSelectionAllowed="1" showAll="0"/>
    <pivotField name="Discount" compact="0" numFmtId="9" outline="0" multipleItemSelectionAllowed="1" showAll="0"/>
    <pivotField name="Payment_Method" compact="0" outline="0" multipleItemSelectionAllowed="1" showAll="0"/>
    <pivotField name="Order_Status" compact="0" outline="0" multipleItemSelectionAllowed="1" showAll="0"/>
    <pivotField name="Gross_Sales" compact="0" numFmtId="165" outline="0" multipleItemSelectionAllowed="1" showAll="0"/>
    <pivotField name="Net_Sales" dataField="1" compact="0" numFmtId="165" outline="0" multipleItemSelectionAllowed="1" showAll="0"/>
    <pivotField name="Order_Value" compact="0" outline="0" multipleItemSelectionAllowed="1" showAll="0"/>
    <pivotField name="Customer_Clean" compact="0" outline="0" multipleItemSelectionAllowed="1" showAll="0"/>
    <pivotField name="Customer_names" compact="0" outline="0" multipleItemSelectionAllowed="1" showAll="0"/>
    <pivotField name="Customer_Upper" compact="0" outline="0" multipleItemSelectionAllowed="1" showAll="0"/>
    <pivotField name="Customer_Proper" compact="0" outline="0" multipleItemSelectionAllowed="1" showAll="0"/>
    <pivotField name="Customer_Name_Length" compact="0" outline="0" multipleItemSelectionAllowed="1" showAll="0"/>
    <pivotField name="Customer_First_3" compact="0" outline="0" multipleItemSelectionAllowed="1" showAll="0"/>
    <pivotField name="Customer_Last_3" compact="0" outline="0" multipleItemSelectionAllowed="1" showAll="0"/>
    <pivotField name="Customer_Mid_3" compact="0" outline="0" multipleItemSelectionAllowed="1" showAll="0"/>
    <pivotField name="Customer_Label" compact="0" outline="0" multipleItemSelectionAllowed="1" showAll="0"/>
    <pivotField name="Customer_Summary" compact="0" outline="0" multipleItemSelectionAllowed="1" showAll="0"/>
    <pivotField name="Order_Month" compact="0" outline="0" multipleItemSelectionAllowed="1" showAll="0"/>
    <pivotField name="Order_Year" compact="0" outline="0" multipleItemSelectionAllowed="1" showAll="0"/>
    <pivotField name="Column 27" compact="0" outline="0" multipleItemSelectionAllowed="1" showAll="0"/>
    <pivotField name="Column 28" compact="0" outline="0" multipleItemSelectionAllowed="1" showAll="0"/>
    <pivotField name="Column 29" compact="0" outline="0" multipleItemSelectionAllowed="1" showAll="0"/>
  </pivotFields>
  <rowFields count="2">
    <field x="4"/>
    <field x="5"/>
  </rowFields>
  <rowItems count="14">
    <i>
      <x/>
      <x v="8"/>
    </i>
    <i t="default">
      <x/>
    </i>
    <i>
      <x v="1"/>
      <x v="1"/>
    </i>
    <i r="1">
      <x v="4"/>
    </i>
    <i t="default">
      <x v="1"/>
    </i>
    <i>
      <x v="2"/>
      <x v="5"/>
    </i>
    <i r="1">
      <x v="6"/>
    </i>
    <i r="1">
      <x v="7"/>
    </i>
    <i t="default">
      <x v="2"/>
    </i>
    <i>
      <x v="3"/>
      <x/>
    </i>
    <i r="1">
      <x v="2"/>
    </i>
    <i t="default">
      <x v="3"/>
    </i>
    <i>
      <x v="4"/>
      <x v="3"/>
    </i>
    <i t="default">
      <x v="4"/>
    </i>
  </rowItems>
  <colItems count="1">
    <i/>
  </colItems>
  <dataFields count="1">
    <dataField name="SUM of Net_Sales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Table" displayName="OrdersTable" ref="A1:AC42">
  <autoFilter ref="A1:AC42" xr:uid="{00000000-0009-0000-0100-000001000000}"/>
  <tableColumns count="29">
    <tableColumn id="1" xr3:uid="{00000000-0010-0000-0000-000001000000}" name="Order_ID"/>
    <tableColumn id="2" xr3:uid="{00000000-0010-0000-0000-000002000000}" name="Order_Date"/>
    <tableColumn id="3" xr3:uid="{00000000-0010-0000-0000-000003000000}" name="Customer"/>
    <tableColumn id="4" xr3:uid="{00000000-0010-0000-0000-000004000000}" name="City"/>
    <tableColumn id="5" xr3:uid="{00000000-0010-0000-0000-000005000000}" name="Category"/>
    <tableColumn id="6" xr3:uid="{00000000-0010-0000-0000-000006000000}" name="Product"/>
    <tableColumn id="7" xr3:uid="{00000000-0010-0000-0000-000007000000}" name="Quantity"/>
    <tableColumn id="8" xr3:uid="{00000000-0010-0000-0000-000008000000}" name="Unit_Price"/>
    <tableColumn id="9" xr3:uid="{00000000-0010-0000-0000-000009000000}" name="Discount"/>
    <tableColumn id="10" xr3:uid="{00000000-0010-0000-0000-00000A000000}" name="Payment_Method"/>
    <tableColumn id="11" xr3:uid="{00000000-0010-0000-0000-00000B000000}" name="Order_Status"/>
    <tableColumn id="12" xr3:uid="{00000000-0010-0000-0000-00000C000000}" name="Gross_Sales"/>
    <tableColumn id="13" xr3:uid="{00000000-0010-0000-0000-00000D000000}" name="Net_Sales"/>
    <tableColumn id="14" xr3:uid="{00000000-0010-0000-0000-00000E000000}" name="Order_Value"/>
    <tableColumn id="15" xr3:uid="{00000000-0010-0000-0000-00000F000000}" name="Customer_Clean"/>
    <tableColumn id="16" xr3:uid="{00000000-0010-0000-0000-000010000000}" name="Customer_names"/>
    <tableColumn id="17" xr3:uid="{00000000-0010-0000-0000-000011000000}" name="Customer_Upper"/>
    <tableColumn id="18" xr3:uid="{00000000-0010-0000-0000-000012000000}" name="Customer_Proper"/>
    <tableColumn id="19" xr3:uid="{00000000-0010-0000-0000-000013000000}" name="Customer_Name_Length"/>
    <tableColumn id="20" xr3:uid="{00000000-0010-0000-0000-000014000000}" name="Customer_First_3"/>
    <tableColumn id="21" xr3:uid="{00000000-0010-0000-0000-000015000000}" name="Customer_Last_3"/>
    <tableColumn id="22" xr3:uid="{00000000-0010-0000-0000-000016000000}" name="Customer_Mid_3"/>
    <tableColumn id="23" xr3:uid="{00000000-0010-0000-0000-000017000000}" name="Customer_Label"/>
    <tableColumn id="24" xr3:uid="{00000000-0010-0000-0000-000018000000}" name="Customer_Summary"/>
    <tableColumn id="25" xr3:uid="{00000000-0010-0000-0000-000019000000}" name="Order_Month"/>
    <tableColumn id="26" xr3:uid="{00000000-0010-0000-0000-00001A000000}" name="Order_Year"/>
    <tableColumn id="27" xr3:uid="{00000000-0010-0000-0000-00001B000000}" name="Column 27"/>
    <tableColumn id="28" xr3:uid="{00000000-0010-0000-0000-00001C000000}" name="Column 28"/>
    <tableColumn id="29" xr3:uid="{00000000-0010-0000-0000-00001D000000}" name="Column 29"/>
  </tableColumns>
  <tableStyleInfo name="Orders_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opLeftCell="S1" workbookViewId="0">
      <pane ySplit="1" topLeftCell="A2" activePane="bottomLeft" state="frozen"/>
      <selection pane="bottomLeft" activeCell="S7" sqref="S7"/>
    </sheetView>
  </sheetViews>
  <sheetFormatPr defaultColWidth="12.625" defaultRowHeight="15" customHeight="1"/>
  <cols>
    <col min="1" max="1" width="12" customWidth="1"/>
    <col min="2" max="2" width="13.875" customWidth="1"/>
    <col min="3" max="3" width="20" customWidth="1"/>
    <col min="4" max="4" width="7.875" customWidth="1"/>
    <col min="5" max="5" width="12.75" customWidth="1"/>
    <col min="6" max="6" width="20" customWidth="1"/>
    <col min="7" max="7" width="12" customWidth="1"/>
    <col min="8" max="8" width="12.25" customWidth="1"/>
    <col min="9" max="9" width="13.125" customWidth="1"/>
    <col min="10" max="11" width="20" customWidth="1"/>
    <col min="12" max="12" width="13.75" customWidth="1"/>
    <col min="13" max="13" width="13.125" customWidth="1"/>
    <col min="14" max="14" width="11.875" customWidth="1"/>
    <col min="15" max="15" width="15.625" customWidth="1"/>
    <col min="16" max="16" width="15.125" customWidth="1"/>
    <col min="17" max="17" width="17.875" customWidth="1"/>
    <col min="18" max="18" width="15" customWidth="1"/>
    <col min="19" max="19" width="9.75" customWidth="1"/>
    <col min="20" max="20" width="11" customWidth="1"/>
    <col min="21" max="22" width="8.625" customWidth="1"/>
    <col min="23" max="23" width="18.25" customWidth="1"/>
    <col min="24" max="24" width="8.625" customWidth="1"/>
    <col min="25" max="25" width="10.375" customWidth="1"/>
    <col min="26" max="29" width="8.625" customWidth="1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</row>
    <row r="2" spans="1:29" ht="14.25">
      <c r="A2" s="3" t="s">
        <v>31</v>
      </c>
      <c r="B2" s="4">
        <v>46247</v>
      </c>
      <c r="C2" s="3" t="s">
        <v>32</v>
      </c>
      <c r="D2" s="3" t="s">
        <v>33</v>
      </c>
      <c r="E2" s="3" t="s">
        <v>34</v>
      </c>
      <c r="F2" s="3" t="s">
        <v>35</v>
      </c>
      <c r="G2" s="3">
        <v>4</v>
      </c>
      <c r="H2" s="5">
        <v>140</v>
      </c>
      <c r="I2" s="6">
        <v>0.05</v>
      </c>
      <c r="J2" s="3" t="s">
        <v>36</v>
      </c>
      <c r="K2" s="3" t="s">
        <v>37</v>
      </c>
      <c r="L2" s="5">
        <f t="shared" ref="L2:L42" si="0">G2*H2</f>
        <v>560</v>
      </c>
      <c r="M2" s="5">
        <f t="shared" ref="M2:M42" si="1">L2*(1-I2)</f>
        <v>532</v>
      </c>
      <c r="N2" s="7" t="str">
        <f t="shared" ref="N2:N42" si="2">IF(M2&gt;=300,"High Value","Regular")</f>
        <v>High Value</v>
      </c>
      <c r="O2" s="7" t="str">
        <f t="shared" ref="O2:O42" si="3">TRIM(C2)</f>
        <v>Sara Mohammed</v>
      </c>
      <c r="P2" s="3" t="s">
        <v>32</v>
      </c>
      <c r="Q2" s="3" t="str">
        <f t="shared" ref="Q2:Q42" si="4">UPPER(C2)</f>
        <v>SARA MOHAMMED</v>
      </c>
      <c r="R2" s="3" t="str">
        <f t="shared" ref="R2:R42" si="5">PROPER(C2)</f>
        <v>Sara Mohammed</v>
      </c>
      <c r="S2" s="3">
        <f t="shared" ref="S2:S42" si="6">LEN(C2)</f>
        <v>13</v>
      </c>
      <c r="T2" s="3" t="str">
        <f t="shared" ref="T2:T42" si="7">LEFT(C2,3)</f>
        <v>Sar</v>
      </c>
      <c r="U2" s="3" t="str">
        <f t="shared" ref="U2:U42" si="8">RIGHT(C2,3)</f>
        <v>med</v>
      </c>
      <c r="V2" s="9" t="str">
        <f t="shared" ref="V2:V42" si="9">MID(C2,2,4)</f>
        <v xml:space="preserve">ara </v>
      </c>
      <c r="W2" s="9" t="str">
        <f t="shared" ref="W2:W42" si="10">C2&amp;" - "&amp;D2</f>
        <v>Sara Mohammed - Khobar</v>
      </c>
      <c r="X2" s="9" t="e">
        <f t="shared" ref="X2:X42" ca="1" si="11">_xludf.TEXTJOIN(" | ",TRUE,C2,D2,E2)</f>
        <v>#NAME?</v>
      </c>
      <c r="Y2" s="9">
        <f t="shared" ref="Y2:Y42" si="12">MONTH(B2)</f>
        <v>8</v>
      </c>
      <c r="Z2" s="9">
        <f t="shared" ref="Z2:Z42" si="13">YEAR(B2)</f>
        <v>2026</v>
      </c>
      <c r="AA2" s="9"/>
      <c r="AB2" s="9"/>
      <c r="AC2" s="9"/>
    </row>
    <row r="3" spans="1:29" ht="14.25">
      <c r="A3" s="3" t="s">
        <v>40</v>
      </c>
      <c r="B3" s="4">
        <v>46238</v>
      </c>
      <c r="C3" s="3" t="s">
        <v>41</v>
      </c>
      <c r="D3" s="3" t="s">
        <v>33</v>
      </c>
      <c r="E3" s="3" t="s">
        <v>42</v>
      </c>
      <c r="F3" s="3" t="s">
        <v>43</v>
      </c>
      <c r="G3" s="3">
        <v>4</v>
      </c>
      <c r="H3" s="5">
        <v>120</v>
      </c>
      <c r="I3" s="6">
        <v>0</v>
      </c>
      <c r="J3" s="3" t="s">
        <v>36</v>
      </c>
      <c r="K3" s="3" t="s">
        <v>37</v>
      </c>
      <c r="L3" s="5">
        <f t="shared" si="0"/>
        <v>480</v>
      </c>
      <c r="M3" s="5">
        <f t="shared" si="1"/>
        <v>480</v>
      </c>
      <c r="N3" s="7" t="str">
        <f t="shared" si="2"/>
        <v>High Value</v>
      </c>
      <c r="O3" s="7" t="str">
        <f t="shared" si="3"/>
        <v>Huda Ibrahim</v>
      </c>
      <c r="P3" s="3" t="s">
        <v>41</v>
      </c>
      <c r="Q3" s="3" t="str">
        <f t="shared" si="4"/>
        <v>HUDA IBRAHIM</v>
      </c>
      <c r="R3" s="3" t="str">
        <f t="shared" si="5"/>
        <v>Huda Ibrahim</v>
      </c>
      <c r="S3" s="3">
        <f t="shared" si="6"/>
        <v>12</v>
      </c>
      <c r="T3" s="3" t="str">
        <f t="shared" si="7"/>
        <v>Hud</v>
      </c>
      <c r="U3" s="3" t="str">
        <f t="shared" si="8"/>
        <v>him</v>
      </c>
      <c r="V3" s="9" t="str">
        <f t="shared" si="9"/>
        <v xml:space="preserve">uda </v>
      </c>
      <c r="W3" s="9" t="str">
        <f t="shared" si="10"/>
        <v>Huda Ibrahim - Khobar</v>
      </c>
      <c r="X3" s="9" t="e">
        <f t="shared" ca="1" si="11"/>
        <v>#NAME?</v>
      </c>
      <c r="Y3" s="9">
        <f t="shared" si="12"/>
        <v>8</v>
      </c>
      <c r="Z3" s="9">
        <f t="shared" si="13"/>
        <v>2026</v>
      </c>
      <c r="AA3" s="9"/>
      <c r="AB3" s="9"/>
      <c r="AC3" s="9"/>
    </row>
    <row r="4" spans="1:29" ht="14.25">
      <c r="A4" s="3" t="s">
        <v>44</v>
      </c>
      <c r="B4" s="4">
        <v>46261</v>
      </c>
      <c r="C4" s="3" t="s">
        <v>45</v>
      </c>
      <c r="D4" s="3" t="s">
        <v>46</v>
      </c>
      <c r="E4" s="3" t="s">
        <v>42</v>
      </c>
      <c r="F4" s="3" t="s">
        <v>47</v>
      </c>
      <c r="G4" s="3">
        <v>4</v>
      </c>
      <c r="H4" s="5">
        <v>150</v>
      </c>
      <c r="I4" s="6">
        <v>0</v>
      </c>
      <c r="J4" s="3" t="s">
        <v>48</v>
      </c>
      <c r="K4" s="3" t="s">
        <v>49</v>
      </c>
      <c r="L4" s="5">
        <f t="shared" si="0"/>
        <v>600</v>
      </c>
      <c r="M4" s="5">
        <f t="shared" si="1"/>
        <v>600</v>
      </c>
      <c r="N4" s="7" t="str">
        <f t="shared" si="2"/>
        <v>High Value</v>
      </c>
      <c r="O4" s="7" t="str">
        <f t="shared" si="3"/>
        <v>Reem Fahad</v>
      </c>
      <c r="P4" s="3" t="s">
        <v>45</v>
      </c>
      <c r="Q4" s="3" t="str">
        <f t="shared" si="4"/>
        <v>REEM FAHAD</v>
      </c>
      <c r="R4" s="3" t="str">
        <f t="shared" si="5"/>
        <v>Reem Fahad</v>
      </c>
      <c r="S4" s="3">
        <f t="shared" si="6"/>
        <v>10</v>
      </c>
      <c r="T4" s="3" t="str">
        <f t="shared" si="7"/>
        <v>Ree</v>
      </c>
      <c r="U4" s="3" t="str">
        <f t="shared" si="8"/>
        <v>had</v>
      </c>
      <c r="V4" s="9" t="str">
        <f t="shared" si="9"/>
        <v xml:space="preserve">eem </v>
      </c>
      <c r="W4" s="9" t="str">
        <f t="shared" si="10"/>
        <v>Reem Fahad - Dammam</v>
      </c>
      <c r="X4" s="9" t="e">
        <f t="shared" ca="1" si="11"/>
        <v>#NAME?</v>
      </c>
      <c r="Y4" s="9">
        <f t="shared" si="12"/>
        <v>8</v>
      </c>
      <c r="Z4" s="9">
        <f t="shared" si="13"/>
        <v>2026</v>
      </c>
      <c r="AA4" s="9"/>
      <c r="AB4" s="9"/>
      <c r="AC4" s="9"/>
    </row>
    <row r="5" spans="1:29" ht="14.25">
      <c r="A5" s="3" t="s">
        <v>50</v>
      </c>
      <c r="B5" s="4">
        <v>46258</v>
      </c>
      <c r="C5" s="3" t="s">
        <v>51</v>
      </c>
      <c r="D5" s="3" t="s">
        <v>52</v>
      </c>
      <c r="E5" s="3" t="s">
        <v>34</v>
      </c>
      <c r="F5" s="3" t="s">
        <v>53</v>
      </c>
      <c r="G5" s="3">
        <v>2</v>
      </c>
      <c r="H5" s="5">
        <v>250</v>
      </c>
      <c r="I5" s="6">
        <v>0.05</v>
      </c>
      <c r="J5" s="3" t="s">
        <v>36</v>
      </c>
      <c r="K5" s="3" t="s">
        <v>37</v>
      </c>
      <c r="L5" s="5">
        <f t="shared" si="0"/>
        <v>500</v>
      </c>
      <c r="M5" s="5">
        <f t="shared" si="1"/>
        <v>475</v>
      </c>
      <c r="N5" s="7" t="str">
        <f t="shared" si="2"/>
        <v>High Value</v>
      </c>
      <c r="O5" s="7" t="str">
        <f t="shared" si="3"/>
        <v>Nora Salem</v>
      </c>
      <c r="P5" s="3" t="s">
        <v>51</v>
      </c>
      <c r="Q5" s="3" t="str">
        <f t="shared" si="4"/>
        <v>NORA SALEM</v>
      </c>
      <c r="R5" s="3" t="str">
        <f t="shared" si="5"/>
        <v>Nora Salem</v>
      </c>
      <c r="S5" s="3">
        <f t="shared" si="6"/>
        <v>10</v>
      </c>
      <c r="T5" s="3" t="str">
        <f t="shared" si="7"/>
        <v>Nor</v>
      </c>
      <c r="U5" s="3" t="str">
        <f t="shared" si="8"/>
        <v>lem</v>
      </c>
      <c r="V5" s="9" t="str">
        <f t="shared" si="9"/>
        <v xml:space="preserve">ora </v>
      </c>
      <c r="W5" s="9" t="str">
        <f t="shared" si="10"/>
        <v>Nora Salem - Riyadh</v>
      </c>
      <c r="X5" s="9" t="e">
        <f t="shared" ca="1" si="11"/>
        <v>#NAME?</v>
      </c>
      <c r="Y5" s="9">
        <f t="shared" si="12"/>
        <v>8</v>
      </c>
      <c r="Z5" s="9">
        <f t="shared" si="13"/>
        <v>2026</v>
      </c>
      <c r="AA5" s="9"/>
      <c r="AB5" s="9"/>
      <c r="AC5" s="9"/>
    </row>
    <row r="6" spans="1:29" ht="14.25">
      <c r="A6" s="3" t="s">
        <v>66</v>
      </c>
      <c r="B6" s="4">
        <v>46258</v>
      </c>
      <c r="C6" s="3" t="s">
        <v>41</v>
      </c>
      <c r="D6" s="3" t="s">
        <v>67</v>
      </c>
      <c r="E6" s="3" t="s">
        <v>63</v>
      </c>
      <c r="F6" s="3" t="s">
        <v>64</v>
      </c>
      <c r="G6" s="3">
        <v>4</v>
      </c>
      <c r="H6" s="5">
        <v>90</v>
      </c>
      <c r="I6" s="6">
        <v>0</v>
      </c>
      <c r="J6" s="3" t="s">
        <v>68</v>
      </c>
      <c r="K6" s="3" t="s">
        <v>37</v>
      </c>
      <c r="L6" s="5">
        <f t="shared" si="0"/>
        <v>360</v>
      </c>
      <c r="M6" s="5">
        <f t="shared" si="1"/>
        <v>360</v>
      </c>
      <c r="N6" s="7" t="str">
        <f t="shared" si="2"/>
        <v>High Value</v>
      </c>
      <c r="O6" s="7" t="str">
        <f t="shared" si="3"/>
        <v>Huda Ibrahim</v>
      </c>
      <c r="P6" s="3" t="s">
        <v>69</v>
      </c>
      <c r="Q6" s="3" t="str">
        <f t="shared" si="4"/>
        <v>HUDA IBRAHIM</v>
      </c>
      <c r="R6" s="3" t="str">
        <f t="shared" si="5"/>
        <v>Huda Ibrahim</v>
      </c>
      <c r="S6" s="3">
        <f t="shared" si="6"/>
        <v>12</v>
      </c>
      <c r="T6" s="3" t="str">
        <f t="shared" si="7"/>
        <v>Hud</v>
      </c>
      <c r="U6" s="3" t="str">
        <f t="shared" si="8"/>
        <v>him</v>
      </c>
      <c r="V6" s="9" t="str">
        <f t="shared" si="9"/>
        <v xml:space="preserve">uda </v>
      </c>
      <c r="W6" s="9" t="str">
        <f t="shared" si="10"/>
        <v>Huda Ibrahim - Jeddah</v>
      </c>
      <c r="X6" s="9" t="e">
        <f t="shared" ca="1" si="11"/>
        <v>#NAME?</v>
      </c>
      <c r="Y6" s="9">
        <f t="shared" si="12"/>
        <v>8</v>
      </c>
      <c r="Z6" s="9">
        <f t="shared" si="13"/>
        <v>2026</v>
      </c>
      <c r="AA6" s="9"/>
      <c r="AB6" s="9"/>
      <c r="AC6" s="9"/>
    </row>
    <row r="7" spans="1:29" ht="14.25">
      <c r="A7" s="3" t="s">
        <v>70</v>
      </c>
      <c r="B7" s="4">
        <v>46252</v>
      </c>
      <c r="C7" s="3" t="s">
        <v>32</v>
      </c>
      <c r="D7" s="3" t="s">
        <v>71</v>
      </c>
      <c r="E7" s="3" t="s">
        <v>34</v>
      </c>
      <c r="F7" s="3" t="s">
        <v>53</v>
      </c>
      <c r="G7" s="3">
        <v>3</v>
      </c>
      <c r="H7" s="5">
        <v>250</v>
      </c>
      <c r="I7" s="6">
        <v>0</v>
      </c>
      <c r="J7" s="3" t="s">
        <v>68</v>
      </c>
      <c r="K7" s="3" t="s">
        <v>72</v>
      </c>
      <c r="L7" s="5">
        <f t="shared" si="0"/>
        <v>750</v>
      </c>
      <c r="M7" s="5">
        <f t="shared" si="1"/>
        <v>750</v>
      </c>
      <c r="N7" s="7" t="str">
        <f t="shared" si="2"/>
        <v>High Value</v>
      </c>
      <c r="O7" s="7" t="str">
        <f t="shared" si="3"/>
        <v>Sara Mohammed</v>
      </c>
      <c r="P7" s="3" t="s">
        <v>73</v>
      </c>
      <c r="Q7" s="3" t="str">
        <f t="shared" si="4"/>
        <v>SARA MOHAMMED</v>
      </c>
      <c r="R7" s="3" t="str">
        <f t="shared" si="5"/>
        <v>Sara Mohammed</v>
      </c>
      <c r="S7" s="3">
        <f t="shared" si="6"/>
        <v>13</v>
      </c>
      <c r="T7" s="3" t="str">
        <f t="shared" si="7"/>
        <v>Sar</v>
      </c>
      <c r="U7" s="3" t="str">
        <f t="shared" si="8"/>
        <v>med</v>
      </c>
      <c r="V7" s="9" t="str">
        <f t="shared" si="9"/>
        <v xml:space="preserve">ara </v>
      </c>
      <c r="W7" s="9" t="str">
        <f t="shared" si="10"/>
        <v>Sara Mohammed - Qatif</v>
      </c>
      <c r="X7" s="9" t="e">
        <f t="shared" ca="1" si="11"/>
        <v>#NAME?</v>
      </c>
      <c r="Y7" s="9">
        <f t="shared" si="12"/>
        <v>8</v>
      </c>
      <c r="Z7" s="9">
        <f t="shared" si="13"/>
        <v>2026</v>
      </c>
      <c r="AA7" s="9"/>
      <c r="AB7" s="9"/>
      <c r="AC7" s="9"/>
    </row>
    <row r="8" spans="1:29" ht="14.25">
      <c r="A8" s="3" t="s">
        <v>74</v>
      </c>
      <c r="B8" s="4">
        <v>46252</v>
      </c>
      <c r="C8" s="3" t="s">
        <v>69</v>
      </c>
      <c r="D8" s="3" t="s">
        <v>67</v>
      </c>
      <c r="E8" s="3" t="s">
        <v>34</v>
      </c>
      <c r="F8" s="3" t="s">
        <v>53</v>
      </c>
      <c r="G8" s="3">
        <v>4</v>
      </c>
      <c r="H8" s="5">
        <v>250</v>
      </c>
      <c r="I8" s="6">
        <v>0.15</v>
      </c>
      <c r="J8" s="3" t="s">
        <v>36</v>
      </c>
      <c r="K8" s="3" t="s">
        <v>72</v>
      </c>
      <c r="L8" s="5">
        <f t="shared" si="0"/>
        <v>1000</v>
      </c>
      <c r="M8" s="5">
        <f t="shared" si="1"/>
        <v>850</v>
      </c>
      <c r="N8" s="7" t="str">
        <f t="shared" si="2"/>
        <v>High Value</v>
      </c>
      <c r="O8" s="7" t="str">
        <f t="shared" si="3"/>
        <v>Yousef Nasser</v>
      </c>
      <c r="P8" s="3" t="s">
        <v>75</v>
      </c>
      <c r="Q8" s="3" t="str">
        <f t="shared" si="4"/>
        <v>YOUSEF NASSER</v>
      </c>
      <c r="R8" s="3" t="str">
        <f t="shared" si="5"/>
        <v>Yousef Nasser</v>
      </c>
      <c r="S8" s="3">
        <f t="shared" si="6"/>
        <v>13</v>
      </c>
      <c r="T8" s="3" t="str">
        <f t="shared" si="7"/>
        <v>You</v>
      </c>
      <c r="U8" s="3" t="str">
        <f t="shared" si="8"/>
        <v>ser</v>
      </c>
      <c r="V8" s="9" t="str">
        <f t="shared" si="9"/>
        <v>ouse</v>
      </c>
      <c r="W8" s="9" t="str">
        <f t="shared" si="10"/>
        <v>Yousef Nasser - Jeddah</v>
      </c>
      <c r="X8" s="9" t="e">
        <f t="shared" ca="1" si="11"/>
        <v>#NAME?</v>
      </c>
      <c r="Y8" s="9">
        <f t="shared" si="12"/>
        <v>8</v>
      </c>
      <c r="Z8" s="9">
        <f t="shared" si="13"/>
        <v>2026</v>
      </c>
      <c r="AA8" s="9"/>
      <c r="AB8" s="9"/>
      <c r="AC8" s="9"/>
    </row>
    <row r="9" spans="1:29" ht="14.25">
      <c r="A9" s="3" t="s">
        <v>76</v>
      </c>
      <c r="B9" s="4">
        <v>46242</v>
      </c>
      <c r="C9" s="3" t="s">
        <v>73</v>
      </c>
      <c r="D9" s="3" t="s">
        <v>52</v>
      </c>
      <c r="E9" s="3" t="s">
        <v>56</v>
      </c>
      <c r="F9" s="3" t="s">
        <v>58</v>
      </c>
      <c r="G9" s="3">
        <v>3</v>
      </c>
      <c r="H9" s="5">
        <v>160</v>
      </c>
      <c r="I9" s="6">
        <v>0</v>
      </c>
      <c r="J9" s="3" t="s">
        <v>68</v>
      </c>
      <c r="K9" s="3" t="s">
        <v>72</v>
      </c>
      <c r="L9" s="5">
        <f t="shared" si="0"/>
        <v>480</v>
      </c>
      <c r="M9" s="5">
        <f t="shared" si="1"/>
        <v>480</v>
      </c>
      <c r="N9" s="7" t="str">
        <f t="shared" si="2"/>
        <v>High Value</v>
      </c>
      <c r="O9" s="7" t="str">
        <f t="shared" si="3"/>
        <v>Fahad Hassan</v>
      </c>
      <c r="P9" s="3" t="s">
        <v>24</v>
      </c>
      <c r="Q9" s="3" t="str">
        <f t="shared" si="4"/>
        <v>FAHAD HASSAN</v>
      </c>
      <c r="R9" s="3" t="str">
        <f t="shared" si="5"/>
        <v>Fahad Hassan</v>
      </c>
      <c r="S9" s="3">
        <f t="shared" si="6"/>
        <v>12</v>
      </c>
      <c r="T9" s="3" t="str">
        <f t="shared" si="7"/>
        <v>Fah</v>
      </c>
      <c r="U9" s="3" t="str">
        <f t="shared" si="8"/>
        <v>san</v>
      </c>
      <c r="V9" s="9" t="str">
        <f t="shared" si="9"/>
        <v>ahad</v>
      </c>
      <c r="W9" s="9" t="str">
        <f t="shared" si="10"/>
        <v>Fahad Hassan - Riyadh</v>
      </c>
      <c r="X9" s="9" t="e">
        <f t="shared" ca="1" si="11"/>
        <v>#NAME?</v>
      </c>
      <c r="Y9" s="9">
        <f t="shared" si="12"/>
        <v>8</v>
      </c>
      <c r="Z9" s="9">
        <f t="shared" si="13"/>
        <v>2026</v>
      </c>
      <c r="AA9" s="9"/>
      <c r="AB9" s="9"/>
      <c r="AC9" s="9"/>
    </row>
    <row r="10" spans="1:29" ht="14.25">
      <c r="A10" s="3" t="s">
        <v>77</v>
      </c>
      <c r="B10" s="4">
        <v>46257</v>
      </c>
      <c r="C10" s="3" t="s">
        <v>69</v>
      </c>
      <c r="D10" s="3" t="s">
        <v>67</v>
      </c>
      <c r="E10" s="3" t="s">
        <v>63</v>
      </c>
      <c r="F10" s="3" t="s">
        <v>64</v>
      </c>
      <c r="G10" s="3">
        <v>4</v>
      </c>
      <c r="H10" s="5">
        <v>90</v>
      </c>
      <c r="I10" s="6">
        <v>0</v>
      </c>
      <c r="J10" s="3" t="s">
        <v>68</v>
      </c>
      <c r="K10" s="3" t="s">
        <v>37</v>
      </c>
      <c r="L10" s="5">
        <f t="shared" si="0"/>
        <v>360</v>
      </c>
      <c r="M10" s="5">
        <f t="shared" si="1"/>
        <v>360</v>
      </c>
      <c r="N10" s="7" t="str">
        <f t="shared" si="2"/>
        <v>High Value</v>
      </c>
      <c r="O10" s="7" t="str">
        <f t="shared" si="3"/>
        <v>Yousef Nasser</v>
      </c>
      <c r="P10" s="3" t="s">
        <v>78</v>
      </c>
      <c r="Q10" s="3" t="str">
        <f t="shared" si="4"/>
        <v>YOUSEF NASSER</v>
      </c>
      <c r="R10" s="3" t="str">
        <f t="shared" si="5"/>
        <v>Yousef Nasser</v>
      </c>
      <c r="S10" s="3">
        <f t="shared" si="6"/>
        <v>13</v>
      </c>
      <c r="T10" s="3" t="str">
        <f t="shared" si="7"/>
        <v>You</v>
      </c>
      <c r="U10" s="3" t="str">
        <f t="shared" si="8"/>
        <v>ser</v>
      </c>
      <c r="V10" s="9" t="str">
        <f t="shared" si="9"/>
        <v>ouse</v>
      </c>
      <c r="W10" s="9" t="str">
        <f t="shared" si="10"/>
        <v>Yousef Nasser - Jeddah</v>
      </c>
      <c r="X10" s="9" t="e">
        <f t="shared" ca="1" si="11"/>
        <v>#NAME?</v>
      </c>
      <c r="Y10" s="9">
        <f t="shared" si="12"/>
        <v>8</v>
      </c>
      <c r="Z10" s="9">
        <f t="shared" si="13"/>
        <v>2026</v>
      </c>
      <c r="AA10" s="9"/>
      <c r="AB10" s="9"/>
      <c r="AC10" s="9"/>
    </row>
    <row r="11" spans="1:29" ht="14.25">
      <c r="A11" s="3" t="s">
        <v>79</v>
      </c>
      <c r="B11" s="4">
        <v>46239</v>
      </c>
      <c r="C11" s="3" t="s">
        <v>41</v>
      </c>
      <c r="D11" s="3" t="s">
        <v>33</v>
      </c>
      <c r="E11" s="3" t="s">
        <v>34</v>
      </c>
      <c r="F11" s="3" t="s">
        <v>35</v>
      </c>
      <c r="G11" s="3">
        <v>2</v>
      </c>
      <c r="H11" s="5">
        <v>140</v>
      </c>
      <c r="I11" s="6">
        <v>0</v>
      </c>
      <c r="J11" s="3" t="s">
        <v>68</v>
      </c>
      <c r="K11" s="3" t="s">
        <v>49</v>
      </c>
      <c r="L11" s="5">
        <f t="shared" si="0"/>
        <v>280</v>
      </c>
      <c r="M11" s="5">
        <f t="shared" si="1"/>
        <v>280</v>
      </c>
      <c r="N11" s="7" t="str">
        <f t="shared" si="2"/>
        <v>Regular</v>
      </c>
      <c r="O11" s="7" t="str">
        <f t="shared" si="3"/>
        <v>Huda Ibrahim</v>
      </c>
      <c r="P11" s="3" t="s">
        <v>80</v>
      </c>
      <c r="Q11" s="3" t="str">
        <f t="shared" si="4"/>
        <v>HUDA IBRAHIM</v>
      </c>
      <c r="R11" s="3" t="str">
        <f t="shared" si="5"/>
        <v>Huda Ibrahim</v>
      </c>
      <c r="S11" s="3">
        <f t="shared" si="6"/>
        <v>12</v>
      </c>
      <c r="T11" s="3" t="str">
        <f t="shared" si="7"/>
        <v>Hud</v>
      </c>
      <c r="U11" s="3" t="str">
        <f t="shared" si="8"/>
        <v>him</v>
      </c>
      <c r="V11" s="9" t="str">
        <f t="shared" si="9"/>
        <v xml:space="preserve">uda </v>
      </c>
      <c r="W11" s="9" t="str">
        <f t="shared" si="10"/>
        <v>Huda Ibrahim - Khobar</v>
      </c>
      <c r="X11" s="9" t="e">
        <f t="shared" ca="1" si="11"/>
        <v>#NAME?</v>
      </c>
      <c r="Y11" s="9">
        <f t="shared" si="12"/>
        <v>8</v>
      </c>
      <c r="Z11" s="9">
        <f t="shared" si="13"/>
        <v>2026</v>
      </c>
      <c r="AA11" s="9"/>
      <c r="AB11" s="9"/>
      <c r="AC11" s="9"/>
    </row>
    <row r="12" spans="1:29" ht="14.25">
      <c r="A12" s="3" t="s">
        <v>81</v>
      </c>
      <c r="B12" s="4">
        <v>46257</v>
      </c>
      <c r="C12" s="3" t="s">
        <v>75</v>
      </c>
      <c r="D12" s="3" t="s">
        <v>71</v>
      </c>
      <c r="E12" s="3" t="s">
        <v>42</v>
      </c>
      <c r="F12" s="3" t="s">
        <v>47</v>
      </c>
      <c r="G12" s="3">
        <v>3</v>
      </c>
      <c r="H12" s="5">
        <v>150</v>
      </c>
      <c r="I12" s="6">
        <v>0</v>
      </c>
      <c r="J12" s="3" t="s">
        <v>36</v>
      </c>
      <c r="K12" s="3" t="s">
        <v>72</v>
      </c>
      <c r="L12" s="5">
        <f t="shared" si="0"/>
        <v>450</v>
      </c>
      <c r="M12" s="5">
        <f t="shared" si="1"/>
        <v>450</v>
      </c>
      <c r="N12" s="7" t="str">
        <f t="shared" si="2"/>
        <v>High Value</v>
      </c>
      <c r="O12" s="7" t="str">
        <f t="shared" si="3"/>
        <v>Maha Abdullah</v>
      </c>
      <c r="Q12" s="3" t="str">
        <f t="shared" si="4"/>
        <v>MAHA ABDULLAH</v>
      </c>
      <c r="R12" s="3" t="str">
        <f t="shared" si="5"/>
        <v>Maha Abdullah</v>
      </c>
      <c r="S12" s="3">
        <f t="shared" si="6"/>
        <v>13</v>
      </c>
      <c r="T12" s="3" t="str">
        <f t="shared" si="7"/>
        <v>Mah</v>
      </c>
      <c r="U12" s="3" t="str">
        <f t="shared" si="8"/>
        <v>lah</v>
      </c>
      <c r="V12" s="9" t="str">
        <f t="shared" si="9"/>
        <v xml:space="preserve">aha </v>
      </c>
      <c r="W12" s="9" t="str">
        <f t="shared" si="10"/>
        <v>Maha Abdullah - Qatif</v>
      </c>
      <c r="X12" s="9" t="e">
        <f t="shared" ca="1" si="11"/>
        <v>#NAME?</v>
      </c>
      <c r="Y12" s="9">
        <f t="shared" si="12"/>
        <v>8</v>
      </c>
      <c r="Z12" s="9">
        <f t="shared" si="13"/>
        <v>2026</v>
      </c>
      <c r="AA12" s="9"/>
      <c r="AB12" s="9"/>
      <c r="AC12" s="9"/>
    </row>
    <row r="13" spans="1:29" ht="14.25">
      <c r="A13" s="3" t="s">
        <v>82</v>
      </c>
      <c r="B13" s="4">
        <v>46242</v>
      </c>
      <c r="C13" s="3" t="s">
        <v>32</v>
      </c>
      <c r="D13" s="3" t="s">
        <v>52</v>
      </c>
      <c r="E13" s="3" t="s">
        <v>42</v>
      </c>
      <c r="F13" s="3" t="s">
        <v>43</v>
      </c>
      <c r="G13" s="3">
        <v>3</v>
      </c>
      <c r="H13" s="5">
        <v>120</v>
      </c>
      <c r="I13" s="6">
        <v>0</v>
      </c>
      <c r="J13" s="3" t="s">
        <v>36</v>
      </c>
      <c r="K13" s="3" t="s">
        <v>37</v>
      </c>
      <c r="L13" s="5">
        <f t="shared" si="0"/>
        <v>360</v>
      </c>
      <c r="M13" s="5">
        <f t="shared" si="1"/>
        <v>360</v>
      </c>
      <c r="N13" s="7" t="str">
        <f t="shared" si="2"/>
        <v>High Value</v>
      </c>
      <c r="O13" s="7" t="str">
        <f t="shared" si="3"/>
        <v>Sara Mohammed</v>
      </c>
      <c r="Q13" s="3" t="str">
        <f t="shared" si="4"/>
        <v>SARA MOHAMMED</v>
      </c>
      <c r="R13" s="3" t="str">
        <f t="shared" si="5"/>
        <v>Sara Mohammed</v>
      </c>
      <c r="S13" s="3">
        <f t="shared" si="6"/>
        <v>13</v>
      </c>
      <c r="T13" s="3" t="str">
        <f t="shared" si="7"/>
        <v>Sar</v>
      </c>
      <c r="U13" s="3" t="str">
        <f t="shared" si="8"/>
        <v>med</v>
      </c>
      <c r="V13" s="9" t="str">
        <f t="shared" si="9"/>
        <v xml:space="preserve">ara </v>
      </c>
      <c r="W13" s="9" t="str">
        <f t="shared" si="10"/>
        <v>Sara Mohammed - Riyadh</v>
      </c>
      <c r="X13" s="9" t="e">
        <f t="shared" ca="1" si="11"/>
        <v>#NAME?</v>
      </c>
      <c r="Y13" s="9">
        <f t="shared" si="12"/>
        <v>8</v>
      </c>
      <c r="Z13" s="9">
        <f t="shared" si="13"/>
        <v>2026</v>
      </c>
      <c r="AA13" s="9"/>
      <c r="AB13" s="9"/>
      <c r="AC13" s="9"/>
    </row>
    <row r="14" spans="1:29" ht="14.25">
      <c r="A14" s="3" t="s">
        <v>83</v>
      </c>
      <c r="B14" s="4">
        <v>46263</v>
      </c>
      <c r="C14" s="3" t="s">
        <v>69</v>
      </c>
      <c r="D14" s="3" t="s">
        <v>52</v>
      </c>
      <c r="E14" s="3" t="s">
        <v>34</v>
      </c>
      <c r="F14" s="3" t="s">
        <v>35</v>
      </c>
      <c r="G14" s="3">
        <v>3</v>
      </c>
      <c r="H14" s="5">
        <v>140</v>
      </c>
      <c r="I14" s="6">
        <v>0.15</v>
      </c>
      <c r="J14" s="3" t="s">
        <v>48</v>
      </c>
      <c r="K14" s="3" t="s">
        <v>37</v>
      </c>
      <c r="L14" s="5">
        <f t="shared" si="0"/>
        <v>420</v>
      </c>
      <c r="M14" s="5">
        <f t="shared" si="1"/>
        <v>357</v>
      </c>
      <c r="N14" s="7" t="str">
        <f t="shared" si="2"/>
        <v>High Value</v>
      </c>
      <c r="O14" s="7" t="str">
        <f t="shared" si="3"/>
        <v>Yousef Nasser</v>
      </c>
      <c r="Q14" s="3" t="str">
        <f t="shared" si="4"/>
        <v>YOUSEF NASSER</v>
      </c>
      <c r="R14" s="3" t="str">
        <f t="shared" si="5"/>
        <v>Yousef Nasser</v>
      </c>
      <c r="S14" s="3">
        <f t="shared" si="6"/>
        <v>13</v>
      </c>
      <c r="T14" s="3" t="str">
        <f t="shared" si="7"/>
        <v>You</v>
      </c>
      <c r="U14" s="3" t="str">
        <f t="shared" si="8"/>
        <v>ser</v>
      </c>
      <c r="V14" s="9" t="str">
        <f t="shared" si="9"/>
        <v>ouse</v>
      </c>
      <c r="W14" s="9" t="str">
        <f t="shared" si="10"/>
        <v>Yousef Nasser - Riyadh</v>
      </c>
      <c r="X14" s="9" t="e">
        <f t="shared" ca="1" si="11"/>
        <v>#NAME?</v>
      </c>
      <c r="Y14" s="9">
        <f t="shared" si="12"/>
        <v>8</v>
      </c>
      <c r="Z14" s="9">
        <f t="shared" si="13"/>
        <v>2026</v>
      </c>
      <c r="AA14" s="9"/>
      <c r="AB14" s="9"/>
      <c r="AC14" s="9"/>
    </row>
    <row r="15" spans="1:29" ht="14.25">
      <c r="A15" s="3" t="s">
        <v>30</v>
      </c>
      <c r="B15" s="4">
        <v>46242</v>
      </c>
      <c r="C15" s="3" t="s">
        <v>24</v>
      </c>
      <c r="D15" s="3" t="s">
        <v>71</v>
      </c>
      <c r="E15" s="3" t="s">
        <v>42</v>
      </c>
      <c r="F15" s="3" t="s">
        <v>60</v>
      </c>
      <c r="G15" s="3">
        <v>4</v>
      </c>
      <c r="H15" s="5">
        <v>75</v>
      </c>
      <c r="I15" s="6">
        <v>0</v>
      </c>
      <c r="J15" s="3" t="s">
        <v>48</v>
      </c>
      <c r="K15" s="3" t="s">
        <v>37</v>
      </c>
      <c r="L15" s="5">
        <f t="shared" si="0"/>
        <v>300</v>
      </c>
      <c r="M15" s="5">
        <f t="shared" si="1"/>
        <v>300</v>
      </c>
      <c r="N15" s="7" t="str">
        <f t="shared" si="2"/>
        <v>High Value</v>
      </c>
      <c r="O15" s="7" t="str">
        <f t="shared" si="3"/>
        <v>Ahmed Ali</v>
      </c>
      <c r="Q15" s="3" t="str">
        <f t="shared" si="4"/>
        <v>AHMED ALI</v>
      </c>
      <c r="R15" s="3" t="str">
        <f t="shared" si="5"/>
        <v>Ahmed Ali</v>
      </c>
      <c r="S15" s="3">
        <f t="shared" si="6"/>
        <v>9</v>
      </c>
      <c r="T15" s="3" t="str">
        <f t="shared" si="7"/>
        <v>Ahm</v>
      </c>
      <c r="U15" s="3" t="str">
        <f t="shared" si="8"/>
        <v>Ali</v>
      </c>
      <c r="V15" s="9" t="str">
        <f t="shared" si="9"/>
        <v>hmed</v>
      </c>
      <c r="W15" s="9" t="str">
        <f t="shared" si="10"/>
        <v>Ahmed Ali - Qatif</v>
      </c>
      <c r="X15" s="9" t="e">
        <f t="shared" ca="1" si="11"/>
        <v>#NAME?</v>
      </c>
      <c r="Y15" s="9">
        <f t="shared" si="12"/>
        <v>8</v>
      </c>
      <c r="Z15" s="9">
        <f t="shared" si="13"/>
        <v>2026</v>
      </c>
      <c r="AA15" s="9"/>
      <c r="AB15" s="9"/>
      <c r="AC15" s="9"/>
    </row>
    <row r="16" spans="1:29" ht="14.25">
      <c r="A16" s="3" t="s">
        <v>84</v>
      </c>
      <c r="B16" s="4">
        <v>46264</v>
      </c>
      <c r="C16" s="3" t="s">
        <v>75</v>
      </c>
      <c r="D16" s="3" t="s">
        <v>52</v>
      </c>
      <c r="E16" s="3" t="s">
        <v>56</v>
      </c>
      <c r="F16" s="3" t="s">
        <v>57</v>
      </c>
      <c r="G16" s="3">
        <v>4</v>
      </c>
      <c r="H16" s="5">
        <v>80</v>
      </c>
      <c r="I16" s="6">
        <v>0.15</v>
      </c>
      <c r="J16" s="3" t="s">
        <v>48</v>
      </c>
      <c r="K16" s="3" t="s">
        <v>37</v>
      </c>
      <c r="L16" s="5">
        <f t="shared" si="0"/>
        <v>320</v>
      </c>
      <c r="M16" s="5">
        <f t="shared" si="1"/>
        <v>272</v>
      </c>
      <c r="N16" s="7" t="str">
        <f t="shared" si="2"/>
        <v>Regular</v>
      </c>
      <c r="O16" s="7" t="str">
        <f t="shared" si="3"/>
        <v>Maha Abdullah</v>
      </c>
      <c r="Q16" s="3" t="str">
        <f t="shared" si="4"/>
        <v>MAHA ABDULLAH</v>
      </c>
      <c r="R16" s="3" t="str">
        <f t="shared" si="5"/>
        <v>Maha Abdullah</v>
      </c>
      <c r="S16" s="3">
        <f t="shared" si="6"/>
        <v>13</v>
      </c>
      <c r="T16" s="3" t="str">
        <f t="shared" si="7"/>
        <v>Mah</v>
      </c>
      <c r="U16" s="3" t="str">
        <f t="shared" si="8"/>
        <v>lah</v>
      </c>
      <c r="V16" s="9" t="str">
        <f t="shared" si="9"/>
        <v xml:space="preserve">aha </v>
      </c>
      <c r="W16" s="9" t="str">
        <f t="shared" si="10"/>
        <v>Maha Abdullah - Riyadh</v>
      </c>
      <c r="X16" s="9" t="e">
        <f t="shared" ca="1" si="11"/>
        <v>#NAME?</v>
      </c>
      <c r="Y16" s="9">
        <f t="shared" si="12"/>
        <v>8</v>
      </c>
      <c r="Z16" s="9">
        <f t="shared" si="13"/>
        <v>2026</v>
      </c>
      <c r="AA16" s="9"/>
      <c r="AB16" s="9"/>
      <c r="AC16" s="9"/>
    </row>
    <row r="17" spans="1:29" ht="14.25">
      <c r="A17" s="3" t="s">
        <v>85</v>
      </c>
      <c r="B17" s="4">
        <v>46261</v>
      </c>
      <c r="C17" s="3" t="s">
        <v>69</v>
      </c>
      <c r="D17" s="3" t="s">
        <v>71</v>
      </c>
      <c r="E17" s="3" t="s">
        <v>34</v>
      </c>
      <c r="F17" s="3" t="s">
        <v>35</v>
      </c>
      <c r="G17" s="3">
        <v>3</v>
      </c>
      <c r="H17" s="5">
        <v>140</v>
      </c>
      <c r="I17" s="6">
        <v>0</v>
      </c>
      <c r="J17" s="3" t="s">
        <v>86</v>
      </c>
      <c r="K17" s="3" t="s">
        <v>49</v>
      </c>
      <c r="L17" s="5">
        <f t="shared" si="0"/>
        <v>420</v>
      </c>
      <c r="M17" s="5">
        <f t="shared" si="1"/>
        <v>420</v>
      </c>
      <c r="N17" s="7" t="str">
        <f t="shared" si="2"/>
        <v>High Value</v>
      </c>
      <c r="O17" s="7" t="str">
        <f t="shared" si="3"/>
        <v>Yousef Nasser</v>
      </c>
      <c r="Q17" s="3" t="str">
        <f t="shared" si="4"/>
        <v>YOUSEF NASSER</v>
      </c>
      <c r="R17" s="3" t="str">
        <f t="shared" si="5"/>
        <v>Yousef Nasser</v>
      </c>
      <c r="S17" s="3">
        <f t="shared" si="6"/>
        <v>13</v>
      </c>
      <c r="T17" s="3" t="str">
        <f t="shared" si="7"/>
        <v>You</v>
      </c>
      <c r="U17" s="3" t="str">
        <f t="shared" si="8"/>
        <v>ser</v>
      </c>
      <c r="V17" s="9" t="str">
        <f t="shared" si="9"/>
        <v>ouse</v>
      </c>
      <c r="W17" s="9" t="str">
        <f t="shared" si="10"/>
        <v>Yousef Nasser - Qatif</v>
      </c>
      <c r="X17" s="9" t="e">
        <f t="shared" ca="1" si="11"/>
        <v>#NAME?</v>
      </c>
      <c r="Y17" s="9">
        <f t="shared" si="12"/>
        <v>8</v>
      </c>
      <c r="Z17" s="9">
        <f t="shared" si="13"/>
        <v>2026</v>
      </c>
      <c r="AA17" s="9"/>
      <c r="AB17" s="9"/>
      <c r="AC17" s="9"/>
    </row>
    <row r="18" spans="1:29" ht="14.25">
      <c r="A18" s="3" t="s">
        <v>87</v>
      </c>
      <c r="B18" s="4">
        <v>46238</v>
      </c>
      <c r="C18" s="3" t="s">
        <v>45</v>
      </c>
      <c r="D18" s="3" t="s">
        <v>67</v>
      </c>
      <c r="E18" s="3" t="s">
        <v>34</v>
      </c>
      <c r="F18" s="3" t="s">
        <v>35</v>
      </c>
      <c r="G18" s="3">
        <v>2</v>
      </c>
      <c r="H18" s="5">
        <v>140</v>
      </c>
      <c r="I18" s="6">
        <v>0.1</v>
      </c>
      <c r="J18" s="3" t="s">
        <v>48</v>
      </c>
      <c r="K18" s="3" t="s">
        <v>37</v>
      </c>
      <c r="L18" s="5">
        <f t="shared" si="0"/>
        <v>280</v>
      </c>
      <c r="M18" s="5">
        <f t="shared" si="1"/>
        <v>252</v>
      </c>
      <c r="N18" s="7" t="str">
        <f t="shared" si="2"/>
        <v>Regular</v>
      </c>
      <c r="O18" s="7" t="str">
        <f t="shared" si="3"/>
        <v>Reem Fahad</v>
      </c>
      <c r="Q18" s="3" t="str">
        <f t="shared" si="4"/>
        <v>REEM FAHAD</v>
      </c>
      <c r="R18" s="3" t="str">
        <f t="shared" si="5"/>
        <v>Reem Fahad</v>
      </c>
      <c r="S18" s="3">
        <f t="shared" si="6"/>
        <v>10</v>
      </c>
      <c r="T18" s="3" t="str">
        <f t="shared" si="7"/>
        <v>Ree</v>
      </c>
      <c r="U18" s="3" t="str">
        <f t="shared" si="8"/>
        <v>had</v>
      </c>
      <c r="V18" s="9" t="str">
        <f t="shared" si="9"/>
        <v xml:space="preserve">eem </v>
      </c>
      <c r="W18" s="9" t="str">
        <f t="shared" si="10"/>
        <v>Reem Fahad - Jeddah</v>
      </c>
      <c r="X18" s="9" t="e">
        <f t="shared" ca="1" si="11"/>
        <v>#NAME?</v>
      </c>
      <c r="Y18" s="9">
        <f t="shared" si="12"/>
        <v>8</v>
      </c>
      <c r="Z18" s="9">
        <f t="shared" si="13"/>
        <v>2026</v>
      </c>
      <c r="AA18" s="9"/>
      <c r="AB18" s="9"/>
      <c r="AC18" s="9"/>
    </row>
    <row r="19" spans="1:29" ht="14.25">
      <c r="A19" s="3" t="s">
        <v>88</v>
      </c>
      <c r="B19" s="4">
        <v>46256</v>
      </c>
      <c r="C19" s="3" t="s">
        <v>51</v>
      </c>
      <c r="D19" s="3" t="s">
        <v>46</v>
      </c>
      <c r="E19" s="3" t="s">
        <v>56</v>
      </c>
      <c r="F19" s="3" t="s">
        <v>57</v>
      </c>
      <c r="G19" s="3">
        <v>2</v>
      </c>
      <c r="H19" s="5">
        <v>80</v>
      </c>
      <c r="I19" s="6">
        <v>0</v>
      </c>
      <c r="J19" s="3" t="s">
        <v>36</v>
      </c>
      <c r="K19" s="3" t="s">
        <v>72</v>
      </c>
      <c r="L19" s="5">
        <f t="shared" si="0"/>
        <v>160</v>
      </c>
      <c r="M19" s="5">
        <f t="shared" si="1"/>
        <v>160</v>
      </c>
      <c r="N19" s="7" t="str">
        <f t="shared" si="2"/>
        <v>Regular</v>
      </c>
      <c r="O19" s="7" t="str">
        <f t="shared" si="3"/>
        <v>Nora Salem</v>
      </c>
      <c r="Q19" s="3" t="str">
        <f t="shared" si="4"/>
        <v>NORA SALEM</v>
      </c>
      <c r="R19" s="3" t="str">
        <f t="shared" si="5"/>
        <v>Nora Salem</v>
      </c>
      <c r="S19" s="3">
        <f t="shared" si="6"/>
        <v>10</v>
      </c>
      <c r="T19" s="3" t="str">
        <f t="shared" si="7"/>
        <v>Nor</v>
      </c>
      <c r="U19" s="3" t="str">
        <f t="shared" si="8"/>
        <v>lem</v>
      </c>
      <c r="V19" s="9" t="str">
        <f t="shared" si="9"/>
        <v xml:space="preserve">ora </v>
      </c>
      <c r="W19" s="9" t="str">
        <f t="shared" si="10"/>
        <v>Nora Salem - Dammam</v>
      </c>
      <c r="X19" s="9" t="e">
        <f t="shared" ca="1" si="11"/>
        <v>#NAME?</v>
      </c>
      <c r="Y19" s="9">
        <f t="shared" si="12"/>
        <v>8</v>
      </c>
      <c r="Z19" s="9">
        <f t="shared" si="13"/>
        <v>2026</v>
      </c>
      <c r="AA19" s="9"/>
      <c r="AB19" s="9"/>
      <c r="AC19" s="9"/>
    </row>
    <row r="20" spans="1:29" ht="14.25">
      <c r="A20" s="3" t="s">
        <v>89</v>
      </c>
      <c r="B20" s="4">
        <v>46235</v>
      </c>
      <c r="C20" s="3" t="s">
        <v>73</v>
      </c>
      <c r="D20" s="3" t="s">
        <v>33</v>
      </c>
      <c r="E20" s="3" t="s">
        <v>56</v>
      </c>
      <c r="F20" s="3" t="s">
        <v>57</v>
      </c>
      <c r="G20" s="3">
        <v>3</v>
      </c>
      <c r="H20" s="5">
        <v>80</v>
      </c>
      <c r="I20" s="6">
        <v>0</v>
      </c>
      <c r="J20" s="3" t="s">
        <v>86</v>
      </c>
      <c r="K20" s="3" t="s">
        <v>72</v>
      </c>
      <c r="L20" s="5">
        <f t="shared" si="0"/>
        <v>240</v>
      </c>
      <c r="M20" s="5">
        <f t="shared" si="1"/>
        <v>240</v>
      </c>
      <c r="N20" s="7" t="str">
        <f t="shared" si="2"/>
        <v>Regular</v>
      </c>
      <c r="O20" s="7" t="str">
        <f t="shared" si="3"/>
        <v>Fahad Hassan</v>
      </c>
      <c r="Q20" s="3" t="str">
        <f t="shared" si="4"/>
        <v>FAHAD HASSAN</v>
      </c>
      <c r="R20" s="3" t="str">
        <f t="shared" si="5"/>
        <v>Fahad Hassan</v>
      </c>
      <c r="S20" s="3">
        <f t="shared" si="6"/>
        <v>12</v>
      </c>
      <c r="T20" s="3" t="str">
        <f t="shared" si="7"/>
        <v>Fah</v>
      </c>
      <c r="U20" s="3" t="str">
        <f t="shared" si="8"/>
        <v>san</v>
      </c>
      <c r="V20" s="9" t="str">
        <f t="shared" si="9"/>
        <v>ahad</v>
      </c>
      <c r="W20" s="9" t="str">
        <f t="shared" si="10"/>
        <v>Fahad Hassan - Khobar</v>
      </c>
      <c r="X20" s="9" t="e">
        <f t="shared" ca="1" si="11"/>
        <v>#NAME?</v>
      </c>
      <c r="Y20" s="9">
        <f t="shared" si="12"/>
        <v>8</v>
      </c>
      <c r="Z20" s="9">
        <f t="shared" si="13"/>
        <v>2026</v>
      </c>
      <c r="AA20" s="9"/>
      <c r="AB20" s="9"/>
      <c r="AC20" s="9"/>
    </row>
    <row r="21" spans="1:29" ht="15.75" customHeight="1">
      <c r="A21" s="3" t="s">
        <v>90</v>
      </c>
      <c r="B21" s="4">
        <v>46255</v>
      </c>
      <c r="C21" s="3" t="s">
        <v>24</v>
      </c>
      <c r="D21" s="3" t="s">
        <v>46</v>
      </c>
      <c r="E21" s="3" t="s">
        <v>42</v>
      </c>
      <c r="F21" s="3" t="s">
        <v>43</v>
      </c>
      <c r="G21" s="3">
        <v>2</v>
      </c>
      <c r="H21" s="5">
        <v>120</v>
      </c>
      <c r="I21" s="6">
        <v>0.05</v>
      </c>
      <c r="J21" s="3" t="s">
        <v>68</v>
      </c>
      <c r="K21" s="3" t="s">
        <v>37</v>
      </c>
      <c r="L21" s="5">
        <f t="shared" si="0"/>
        <v>240</v>
      </c>
      <c r="M21" s="5">
        <f t="shared" si="1"/>
        <v>228</v>
      </c>
      <c r="N21" s="7" t="str">
        <f t="shared" si="2"/>
        <v>Regular</v>
      </c>
      <c r="O21" s="7" t="str">
        <f t="shared" si="3"/>
        <v>Ahmed Ali</v>
      </c>
      <c r="Q21" s="3" t="str">
        <f t="shared" si="4"/>
        <v>AHMED ALI</v>
      </c>
      <c r="R21" s="3" t="str">
        <f t="shared" si="5"/>
        <v>Ahmed Ali</v>
      </c>
      <c r="S21" s="3">
        <f t="shared" si="6"/>
        <v>9</v>
      </c>
      <c r="T21" s="3" t="str">
        <f t="shared" si="7"/>
        <v>Ahm</v>
      </c>
      <c r="U21" s="3" t="str">
        <f t="shared" si="8"/>
        <v>Ali</v>
      </c>
      <c r="V21" s="9" t="str">
        <f t="shared" si="9"/>
        <v>hmed</v>
      </c>
      <c r="W21" s="9" t="str">
        <f t="shared" si="10"/>
        <v>Ahmed Ali - Dammam</v>
      </c>
      <c r="X21" s="9" t="e">
        <f t="shared" ca="1" si="11"/>
        <v>#NAME?</v>
      </c>
      <c r="Y21" s="9">
        <f t="shared" si="12"/>
        <v>8</v>
      </c>
      <c r="Z21" s="9">
        <f t="shared" si="13"/>
        <v>2026</v>
      </c>
      <c r="AA21" s="9"/>
      <c r="AB21" s="9"/>
      <c r="AC21" s="9"/>
    </row>
    <row r="22" spans="1:29" ht="15.75" customHeight="1">
      <c r="A22" s="3" t="s">
        <v>91</v>
      </c>
      <c r="B22" s="4">
        <v>46244</v>
      </c>
      <c r="C22" s="3" t="s">
        <v>78</v>
      </c>
      <c r="D22" s="3" t="s">
        <v>52</v>
      </c>
      <c r="E22" s="3" t="s">
        <v>42</v>
      </c>
      <c r="F22" s="3" t="s">
        <v>60</v>
      </c>
      <c r="G22" s="3">
        <v>3</v>
      </c>
      <c r="H22" s="5">
        <v>75</v>
      </c>
      <c r="I22" s="6">
        <v>0</v>
      </c>
      <c r="J22" s="3" t="s">
        <v>86</v>
      </c>
      <c r="K22" s="3" t="s">
        <v>37</v>
      </c>
      <c r="L22" s="5">
        <f t="shared" si="0"/>
        <v>225</v>
      </c>
      <c r="M22" s="5">
        <f t="shared" si="1"/>
        <v>225</v>
      </c>
      <c r="N22" s="7" t="str">
        <f t="shared" si="2"/>
        <v>Regular</v>
      </c>
      <c r="O22" s="7" t="str">
        <f t="shared" si="3"/>
        <v>Ali Saeed</v>
      </c>
      <c r="Q22" s="3" t="str">
        <f t="shared" si="4"/>
        <v>ALI SAEED</v>
      </c>
      <c r="R22" s="3" t="str">
        <f t="shared" si="5"/>
        <v>Ali Saeed</v>
      </c>
      <c r="S22" s="3">
        <f t="shared" si="6"/>
        <v>9</v>
      </c>
      <c r="T22" s="3" t="str">
        <f t="shared" si="7"/>
        <v>Ali</v>
      </c>
      <c r="U22" s="3" t="str">
        <f t="shared" si="8"/>
        <v>eed</v>
      </c>
      <c r="V22" s="9" t="str">
        <f t="shared" si="9"/>
        <v>li S</v>
      </c>
      <c r="W22" s="9" t="str">
        <f t="shared" si="10"/>
        <v>Ali Saeed - Riyadh</v>
      </c>
      <c r="X22" s="9" t="e">
        <f t="shared" ca="1" si="11"/>
        <v>#NAME?</v>
      </c>
      <c r="Y22" s="9">
        <f t="shared" si="12"/>
        <v>8</v>
      </c>
      <c r="Z22" s="9">
        <f t="shared" si="13"/>
        <v>2026</v>
      </c>
      <c r="AA22" s="9"/>
      <c r="AB22" s="9"/>
      <c r="AC22" s="9"/>
    </row>
    <row r="23" spans="1:29" ht="15.75" customHeight="1">
      <c r="A23" s="3" t="s">
        <v>92</v>
      </c>
      <c r="B23" s="4">
        <v>46249</v>
      </c>
      <c r="C23" s="3" t="s">
        <v>73</v>
      </c>
      <c r="D23" s="3" t="s">
        <v>46</v>
      </c>
      <c r="E23" s="3" t="s">
        <v>34</v>
      </c>
      <c r="F23" s="3" t="s">
        <v>53</v>
      </c>
      <c r="G23" s="3">
        <v>1</v>
      </c>
      <c r="H23" s="5">
        <v>250</v>
      </c>
      <c r="I23" s="6">
        <v>0</v>
      </c>
      <c r="J23" s="3" t="s">
        <v>86</v>
      </c>
      <c r="K23" s="3" t="s">
        <v>72</v>
      </c>
      <c r="L23" s="5">
        <f t="shared" si="0"/>
        <v>250</v>
      </c>
      <c r="M23" s="5">
        <f t="shared" si="1"/>
        <v>250</v>
      </c>
      <c r="N23" s="7" t="str">
        <f t="shared" si="2"/>
        <v>Regular</v>
      </c>
      <c r="O23" s="7" t="str">
        <f t="shared" si="3"/>
        <v>Fahad Hassan</v>
      </c>
      <c r="Q23" s="3" t="str">
        <f t="shared" si="4"/>
        <v>FAHAD HASSAN</v>
      </c>
      <c r="R23" s="3" t="str">
        <f t="shared" si="5"/>
        <v>Fahad Hassan</v>
      </c>
      <c r="S23" s="3">
        <f t="shared" si="6"/>
        <v>12</v>
      </c>
      <c r="T23" s="3" t="str">
        <f t="shared" si="7"/>
        <v>Fah</v>
      </c>
      <c r="U23" s="3" t="str">
        <f t="shared" si="8"/>
        <v>san</v>
      </c>
      <c r="V23" s="9" t="str">
        <f t="shared" si="9"/>
        <v>ahad</v>
      </c>
      <c r="W23" s="9" t="str">
        <f t="shared" si="10"/>
        <v>Fahad Hassan - Dammam</v>
      </c>
      <c r="X23" s="9" t="e">
        <f t="shared" ca="1" si="11"/>
        <v>#NAME?</v>
      </c>
      <c r="Y23" s="9">
        <f t="shared" si="12"/>
        <v>8</v>
      </c>
      <c r="Z23" s="9">
        <f t="shared" si="13"/>
        <v>2026</v>
      </c>
      <c r="AA23" s="9"/>
      <c r="AB23" s="9"/>
      <c r="AC23" s="9"/>
    </row>
    <row r="24" spans="1:29" ht="15.75" customHeight="1">
      <c r="A24" s="3" t="s">
        <v>93</v>
      </c>
      <c r="B24" s="4">
        <v>46238</v>
      </c>
      <c r="C24" s="3" t="s">
        <v>41</v>
      </c>
      <c r="D24" s="3" t="s">
        <v>46</v>
      </c>
      <c r="E24" s="3" t="s">
        <v>42</v>
      </c>
      <c r="F24" s="3" t="s">
        <v>43</v>
      </c>
      <c r="G24" s="3">
        <v>2</v>
      </c>
      <c r="H24" s="5">
        <v>120</v>
      </c>
      <c r="I24" s="6">
        <v>0.1</v>
      </c>
      <c r="J24" s="3" t="s">
        <v>48</v>
      </c>
      <c r="K24" s="3" t="s">
        <v>37</v>
      </c>
      <c r="L24" s="5">
        <f t="shared" si="0"/>
        <v>240</v>
      </c>
      <c r="M24" s="5">
        <f t="shared" si="1"/>
        <v>216</v>
      </c>
      <c r="N24" s="7" t="str">
        <f t="shared" si="2"/>
        <v>Regular</v>
      </c>
      <c r="O24" s="7" t="str">
        <f t="shared" si="3"/>
        <v>Huda Ibrahim</v>
      </c>
      <c r="Q24" s="3" t="str">
        <f t="shared" si="4"/>
        <v>HUDA IBRAHIM</v>
      </c>
      <c r="R24" s="3" t="str">
        <f t="shared" si="5"/>
        <v>Huda Ibrahim</v>
      </c>
      <c r="S24" s="3">
        <f t="shared" si="6"/>
        <v>12</v>
      </c>
      <c r="T24" s="3" t="str">
        <f t="shared" si="7"/>
        <v>Hud</v>
      </c>
      <c r="U24" s="3" t="str">
        <f t="shared" si="8"/>
        <v>him</v>
      </c>
      <c r="V24" s="9" t="str">
        <f t="shared" si="9"/>
        <v xml:space="preserve">uda </v>
      </c>
      <c r="W24" s="9" t="str">
        <f t="shared" si="10"/>
        <v>Huda Ibrahim - Dammam</v>
      </c>
      <c r="X24" s="9" t="e">
        <f t="shared" ca="1" si="11"/>
        <v>#NAME?</v>
      </c>
      <c r="Y24" s="9">
        <f t="shared" si="12"/>
        <v>8</v>
      </c>
      <c r="Z24" s="9">
        <f t="shared" si="13"/>
        <v>2026</v>
      </c>
      <c r="AA24" s="9"/>
      <c r="AB24" s="9"/>
      <c r="AC24" s="9"/>
    </row>
    <row r="25" spans="1:29" ht="15.75" customHeight="1">
      <c r="A25" s="3" t="s">
        <v>94</v>
      </c>
      <c r="B25" s="4">
        <v>46262</v>
      </c>
      <c r="C25" s="3" t="s">
        <v>78</v>
      </c>
      <c r="D25" s="3" t="s">
        <v>71</v>
      </c>
      <c r="E25" s="3" t="s">
        <v>42</v>
      </c>
      <c r="F25" s="3" t="s">
        <v>43</v>
      </c>
      <c r="G25" s="3">
        <v>2</v>
      </c>
      <c r="H25" s="5">
        <v>120</v>
      </c>
      <c r="I25" s="6">
        <v>0.15</v>
      </c>
      <c r="J25" s="3" t="s">
        <v>68</v>
      </c>
      <c r="K25" s="3" t="s">
        <v>37</v>
      </c>
      <c r="L25" s="5">
        <f t="shared" si="0"/>
        <v>240</v>
      </c>
      <c r="M25" s="5">
        <f t="shared" si="1"/>
        <v>204</v>
      </c>
      <c r="N25" s="7" t="str">
        <f t="shared" si="2"/>
        <v>Regular</v>
      </c>
      <c r="O25" s="7" t="str">
        <f t="shared" si="3"/>
        <v>Ali Saeed</v>
      </c>
      <c r="Q25" s="3" t="str">
        <f t="shared" si="4"/>
        <v>ALI SAEED</v>
      </c>
      <c r="R25" s="3" t="str">
        <f t="shared" si="5"/>
        <v>Ali Saeed</v>
      </c>
      <c r="S25" s="3">
        <f t="shared" si="6"/>
        <v>9</v>
      </c>
      <c r="T25" s="3" t="str">
        <f t="shared" si="7"/>
        <v>Ali</v>
      </c>
      <c r="U25" s="3" t="str">
        <f t="shared" si="8"/>
        <v>eed</v>
      </c>
      <c r="V25" s="9" t="str">
        <f t="shared" si="9"/>
        <v>li S</v>
      </c>
      <c r="W25" s="9" t="str">
        <f t="shared" si="10"/>
        <v>Ali Saeed - Qatif</v>
      </c>
      <c r="X25" s="9" t="e">
        <f t="shared" ca="1" si="11"/>
        <v>#NAME?</v>
      </c>
      <c r="Y25" s="9">
        <f t="shared" si="12"/>
        <v>8</v>
      </c>
      <c r="Z25" s="9">
        <f t="shared" si="13"/>
        <v>2026</v>
      </c>
      <c r="AA25" s="9"/>
      <c r="AB25" s="9"/>
      <c r="AC25" s="9"/>
    </row>
    <row r="26" spans="1:29" ht="15.75" customHeight="1">
      <c r="A26" s="3" t="s">
        <v>95</v>
      </c>
      <c r="B26" s="4">
        <v>46262</v>
      </c>
      <c r="C26" s="3" t="s">
        <v>32</v>
      </c>
      <c r="D26" s="3" t="s">
        <v>67</v>
      </c>
      <c r="E26" s="3" t="s">
        <v>42</v>
      </c>
      <c r="F26" s="3" t="s">
        <v>60</v>
      </c>
      <c r="G26" s="3">
        <v>3</v>
      </c>
      <c r="H26" s="5">
        <v>75</v>
      </c>
      <c r="I26" s="6">
        <v>0.15</v>
      </c>
      <c r="J26" s="3" t="s">
        <v>86</v>
      </c>
      <c r="K26" s="3" t="s">
        <v>37</v>
      </c>
      <c r="L26" s="5">
        <f t="shared" si="0"/>
        <v>225</v>
      </c>
      <c r="M26" s="5">
        <f t="shared" si="1"/>
        <v>191.25</v>
      </c>
      <c r="N26" s="7" t="str">
        <f t="shared" si="2"/>
        <v>Regular</v>
      </c>
      <c r="O26" s="7" t="str">
        <f t="shared" si="3"/>
        <v>Sara Mohammed</v>
      </c>
      <c r="Q26" s="3" t="str">
        <f t="shared" si="4"/>
        <v>SARA MOHAMMED</v>
      </c>
      <c r="R26" s="3" t="str">
        <f t="shared" si="5"/>
        <v>Sara Mohammed</v>
      </c>
      <c r="S26" s="3">
        <f t="shared" si="6"/>
        <v>13</v>
      </c>
      <c r="T26" s="3" t="str">
        <f t="shared" si="7"/>
        <v>Sar</v>
      </c>
      <c r="U26" s="3" t="str">
        <f t="shared" si="8"/>
        <v>med</v>
      </c>
      <c r="V26" s="9" t="str">
        <f t="shared" si="9"/>
        <v xml:space="preserve">ara </v>
      </c>
      <c r="W26" s="9" t="str">
        <f t="shared" si="10"/>
        <v>Sara Mohammed - Jeddah</v>
      </c>
      <c r="X26" s="9" t="e">
        <f t="shared" ca="1" si="11"/>
        <v>#NAME?</v>
      </c>
      <c r="Y26" s="9">
        <f t="shared" si="12"/>
        <v>8</v>
      </c>
      <c r="Z26" s="9">
        <f t="shared" si="13"/>
        <v>2026</v>
      </c>
      <c r="AA26" s="9"/>
      <c r="AB26" s="9"/>
      <c r="AC26" s="9"/>
    </row>
    <row r="27" spans="1:29" ht="15.75" customHeight="1">
      <c r="A27" s="3" t="s">
        <v>96</v>
      </c>
      <c r="B27" s="4">
        <v>46238</v>
      </c>
      <c r="C27" s="3" t="s">
        <v>75</v>
      </c>
      <c r="D27" s="3" t="s">
        <v>67</v>
      </c>
      <c r="E27" s="3" t="s">
        <v>63</v>
      </c>
      <c r="F27" s="3" t="s">
        <v>64</v>
      </c>
      <c r="G27" s="3">
        <v>1</v>
      </c>
      <c r="H27" s="5">
        <v>90</v>
      </c>
      <c r="I27" s="6">
        <v>0</v>
      </c>
      <c r="J27" s="3" t="s">
        <v>36</v>
      </c>
      <c r="K27" s="3" t="s">
        <v>49</v>
      </c>
      <c r="L27" s="5">
        <f t="shared" si="0"/>
        <v>90</v>
      </c>
      <c r="M27" s="5">
        <f t="shared" si="1"/>
        <v>90</v>
      </c>
      <c r="N27" s="7" t="str">
        <f t="shared" si="2"/>
        <v>Regular</v>
      </c>
      <c r="O27" s="7" t="str">
        <f t="shared" si="3"/>
        <v>Maha Abdullah</v>
      </c>
      <c r="Q27" s="3" t="str">
        <f t="shared" si="4"/>
        <v>MAHA ABDULLAH</v>
      </c>
      <c r="R27" s="3" t="str">
        <f t="shared" si="5"/>
        <v>Maha Abdullah</v>
      </c>
      <c r="S27" s="3">
        <f t="shared" si="6"/>
        <v>13</v>
      </c>
      <c r="T27" s="3" t="str">
        <f t="shared" si="7"/>
        <v>Mah</v>
      </c>
      <c r="U27" s="3" t="str">
        <f t="shared" si="8"/>
        <v>lah</v>
      </c>
      <c r="V27" s="9" t="str">
        <f t="shared" si="9"/>
        <v xml:space="preserve">aha </v>
      </c>
      <c r="W27" s="9" t="str">
        <f t="shared" si="10"/>
        <v>Maha Abdullah - Jeddah</v>
      </c>
      <c r="X27" s="9" t="e">
        <f t="shared" ca="1" si="11"/>
        <v>#NAME?</v>
      </c>
      <c r="Y27" s="9">
        <f t="shared" si="12"/>
        <v>8</v>
      </c>
      <c r="Z27" s="9">
        <f t="shared" si="13"/>
        <v>2026</v>
      </c>
      <c r="AA27" s="9"/>
      <c r="AB27" s="9"/>
      <c r="AC27" s="9"/>
    </row>
    <row r="28" spans="1:29" ht="15.75" customHeight="1">
      <c r="A28" s="3" t="s">
        <v>97</v>
      </c>
      <c r="B28" s="4">
        <v>46265</v>
      </c>
      <c r="C28" s="3" t="s">
        <v>78</v>
      </c>
      <c r="D28" s="3" t="s">
        <v>67</v>
      </c>
      <c r="E28" s="3" t="s">
        <v>56</v>
      </c>
      <c r="F28" s="3" t="s">
        <v>57</v>
      </c>
      <c r="G28" s="3">
        <v>1</v>
      </c>
      <c r="H28" s="5">
        <v>80</v>
      </c>
      <c r="I28" s="6">
        <v>0</v>
      </c>
      <c r="J28" s="3" t="s">
        <v>48</v>
      </c>
      <c r="K28" s="3" t="s">
        <v>49</v>
      </c>
      <c r="L28" s="5">
        <f t="shared" si="0"/>
        <v>80</v>
      </c>
      <c r="M28" s="5">
        <f t="shared" si="1"/>
        <v>80</v>
      </c>
      <c r="N28" s="7" t="str">
        <f t="shared" si="2"/>
        <v>Regular</v>
      </c>
      <c r="O28" s="7" t="str">
        <f t="shared" si="3"/>
        <v>Ali Saeed</v>
      </c>
      <c r="Q28" s="3" t="str">
        <f t="shared" si="4"/>
        <v>ALI SAEED</v>
      </c>
      <c r="R28" s="3" t="str">
        <f t="shared" si="5"/>
        <v>Ali Saeed</v>
      </c>
      <c r="S28" s="3">
        <f t="shared" si="6"/>
        <v>9</v>
      </c>
      <c r="T28" s="3" t="str">
        <f t="shared" si="7"/>
        <v>Ali</v>
      </c>
      <c r="U28" s="3" t="str">
        <f t="shared" si="8"/>
        <v>eed</v>
      </c>
      <c r="V28" s="9" t="str">
        <f t="shared" si="9"/>
        <v>li S</v>
      </c>
      <c r="W28" s="9" t="str">
        <f t="shared" si="10"/>
        <v>Ali Saeed - Jeddah</v>
      </c>
      <c r="X28" s="9" t="e">
        <f t="shared" ca="1" si="11"/>
        <v>#NAME?</v>
      </c>
      <c r="Y28" s="9">
        <f t="shared" si="12"/>
        <v>8</v>
      </c>
      <c r="Z28" s="9">
        <f t="shared" si="13"/>
        <v>2026</v>
      </c>
      <c r="AA28" s="9"/>
      <c r="AB28" s="9"/>
      <c r="AC28" s="9"/>
    </row>
    <row r="29" spans="1:29" ht="15.75" customHeight="1">
      <c r="A29" s="3" t="s">
        <v>98</v>
      </c>
      <c r="B29" s="4">
        <v>46265</v>
      </c>
      <c r="C29" s="3" t="s">
        <v>80</v>
      </c>
      <c r="D29" s="3" t="s">
        <v>33</v>
      </c>
      <c r="E29" s="3" t="s">
        <v>56</v>
      </c>
      <c r="F29" s="3" t="s">
        <v>58</v>
      </c>
      <c r="G29" s="3">
        <v>1</v>
      </c>
      <c r="H29" s="5">
        <v>160</v>
      </c>
      <c r="I29" s="6">
        <v>0</v>
      </c>
      <c r="J29" s="3" t="s">
        <v>68</v>
      </c>
      <c r="K29" s="3" t="s">
        <v>37</v>
      </c>
      <c r="L29" s="5">
        <f t="shared" si="0"/>
        <v>160</v>
      </c>
      <c r="M29" s="5">
        <f t="shared" si="1"/>
        <v>160</v>
      </c>
      <c r="N29" s="7" t="str">
        <f t="shared" si="2"/>
        <v>Regular</v>
      </c>
      <c r="O29" s="7" t="str">
        <f t="shared" si="3"/>
        <v>Khalid Omar</v>
      </c>
      <c r="Q29" s="3" t="str">
        <f t="shared" si="4"/>
        <v>KHALID OMAR</v>
      </c>
      <c r="R29" s="3" t="str">
        <f t="shared" si="5"/>
        <v>Khalid Omar</v>
      </c>
      <c r="S29" s="3">
        <f t="shared" si="6"/>
        <v>11</v>
      </c>
      <c r="T29" s="3" t="str">
        <f t="shared" si="7"/>
        <v>Kha</v>
      </c>
      <c r="U29" s="3" t="str">
        <f t="shared" si="8"/>
        <v>mar</v>
      </c>
      <c r="V29" s="9" t="str">
        <f t="shared" si="9"/>
        <v>hali</v>
      </c>
      <c r="W29" s="9" t="str">
        <f t="shared" si="10"/>
        <v>Khalid Omar - Khobar</v>
      </c>
      <c r="X29" s="9" t="e">
        <f t="shared" ca="1" si="11"/>
        <v>#NAME?</v>
      </c>
      <c r="Y29" s="9">
        <f t="shared" si="12"/>
        <v>8</v>
      </c>
      <c r="Z29" s="9">
        <f t="shared" si="13"/>
        <v>2026</v>
      </c>
      <c r="AA29" s="9"/>
      <c r="AB29" s="9"/>
      <c r="AC29" s="9"/>
    </row>
    <row r="30" spans="1:29" ht="15.75" customHeight="1">
      <c r="A30" s="3" t="s">
        <v>99</v>
      </c>
      <c r="B30" s="4">
        <v>46252</v>
      </c>
      <c r="C30" s="3" t="s">
        <v>78</v>
      </c>
      <c r="D30" s="3" t="s">
        <v>67</v>
      </c>
      <c r="E30" s="3" t="s">
        <v>42</v>
      </c>
      <c r="F30" s="3" t="s">
        <v>43</v>
      </c>
      <c r="G30" s="3">
        <v>2</v>
      </c>
      <c r="H30" s="5">
        <v>120</v>
      </c>
      <c r="I30" s="6">
        <v>0.1</v>
      </c>
      <c r="J30" s="3" t="s">
        <v>48</v>
      </c>
      <c r="K30" s="3" t="s">
        <v>72</v>
      </c>
      <c r="L30" s="5">
        <f t="shared" si="0"/>
        <v>240</v>
      </c>
      <c r="M30" s="5">
        <f t="shared" si="1"/>
        <v>216</v>
      </c>
      <c r="N30" s="7" t="str">
        <f t="shared" si="2"/>
        <v>Regular</v>
      </c>
      <c r="O30" s="7" t="str">
        <f t="shared" si="3"/>
        <v>Ali Saeed</v>
      </c>
      <c r="Q30" s="3" t="str">
        <f t="shared" si="4"/>
        <v>ALI SAEED</v>
      </c>
      <c r="R30" s="3" t="str">
        <f t="shared" si="5"/>
        <v>Ali Saeed</v>
      </c>
      <c r="S30" s="3">
        <f t="shared" si="6"/>
        <v>9</v>
      </c>
      <c r="T30" s="3" t="str">
        <f t="shared" si="7"/>
        <v>Ali</v>
      </c>
      <c r="U30" s="3" t="str">
        <f t="shared" si="8"/>
        <v>eed</v>
      </c>
      <c r="V30" s="9" t="str">
        <f t="shared" si="9"/>
        <v>li S</v>
      </c>
      <c r="W30" s="9" t="str">
        <f t="shared" si="10"/>
        <v>Ali Saeed - Jeddah</v>
      </c>
      <c r="X30" s="9" t="e">
        <f t="shared" ca="1" si="11"/>
        <v>#NAME?</v>
      </c>
      <c r="Y30" s="9">
        <f t="shared" si="12"/>
        <v>8</v>
      </c>
      <c r="Z30" s="9">
        <f t="shared" si="13"/>
        <v>2026</v>
      </c>
      <c r="AA30" s="9"/>
      <c r="AB30" s="9"/>
      <c r="AC30" s="9"/>
    </row>
    <row r="31" spans="1:29" ht="15.75" customHeight="1">
      <c r="A31" s="3" t="s">
        <v>100</v>
      </c>
      <c r="B31" s="4">
        <v>46247</v>
      </c>
      <c r="C31" s="3" t="s">
        <v>41</v>
      </c>
      <c r="D31" s="3" t="s">
        <v>46</v>
      </c>
      <c r="E31" s="3" t="s">
        <v>56</v>
      </c>
      <c r="F31" s="3" t="s">
        <v>57</v>
      </c>
      <c r="G31" s="3">
        <v>2</v>
      </c>
      <c r="H31" s="5">
        <v>80</v>
      </c>
      <c r="I31" s="6">
        <v>0.05</v>
      </c>
      <c r="J31" s="3" t="s">
        <v>48</v>
      </c>
      <c r="K31" s="3" t="s">
        <v>37</v>
      </c>
      <c r="L31" s="5">
        <f t="shared" si="0"/>
        <v>160</v>
      </c>
      <c r="M31" s="5">
        <f t="shared" si="1"/>
        <v>152</v>
      </c>
      <c r="N31" s="7" t="str">
        <f t="shared" si="2"/>
        <v>Regular</v>
      </c>
      <c r="O31" s="7" t="str">
        <f t="shared" si="3"/>
        <v>Huda Ibrahim</v>
      </c>
      <c r="Q31" s="3" t="str">
        <f t="shared" si="4"/>
        <v>HUDA IBRAHIM</v>
      </c>
      <c r="R31" s="3" t="str">
        <f t="shared" si="5"/>
        <v>Huda Ibrahim</v>
      </c>
      <c r="S31" s="3">
        <f t="shared" si="6"/>
        <v>12</v>
      </c>
      <c r="T31" s="3" t="str">
        <f t="shared" si="7"/>
        <v>Hud</v>
      </c>
      <c r="U31" s="3" t="str">
        <f t="shared" si="8"/>
        <v>him</v>
      </c>
      <c r="V31" s="9" t="str">
        <f t="shared" si="9"/>
        <v xml:space="preserve">uda </v>
      </c>
      <c r="W31" s="9" t="str">
        <f t="shared" si="10"/>
        <v>Huda Ibrahim - Dammam</v>
      </c>
      <c r="X31" s="9" t="e">
        <f t="shared" ca="1" si="11"/>
        <v>#NAME?</v>
      </c>
      <c r="Y31" s="9">
        <f t="shared" si="12"/>
        <v>8</v>
      </c>
      <c r="Z31" s="9">
        <f t="shared" si="13"/>
        <v>2026</v>
      </c>
      <c r="AA31" s="9"/>
      <c r="AB31" s="9"/>
      <c r="AC31" s="9"/>
    </row>
    <row r="32" spans="1:29" ht="15.75" customHeight="1">
      <c r="A32" s="3" t="s">
        <v>101</v>
      </c>
      <c r="B32" s="4">
        <v>46237</v>
      </c>
      <c r="C32" s="3" t="s">
        <v>69</v>
      </c>
      <c r="D32" s="3" t="s">
        <v>33</v>
      </c>
      <c r="E32" s="3" t="s">
        <v>42</v>
      </c>
      <c r="F32" s="3" t="s">
        <v>60</v>
      </c>
      <c r="G32" s="3">
        <v>2</v>
      </c>
      <c r="H32" s="5">
        <v>75</v>
      </c>
      <c r="I32" s="6">
        <v>0</v>
      </c>
      <c r="J32" s="3" t="s">
        <v>68</v>
      </c>
      <c r="K32" s="3" t="s">
        <v>37</v>
      </c>
      <c r="L32" s="5">
        <f t="shared" si="0"/>
        <v>150</v>
      </c>
      <c r="M32" s="5">
        <f t="shared" si="1"/>
        <v>150</v>
      </c>
      <c r="N32" s="7" t="str">
        <f t="shared" si="2"/>
        <v>Regular</v>
      </c>
      <c r="O32" s="7" t="str">
        <f t="shared" si="3"/>
        <v>Yousef Nasser</v>
      </c>
      <c r="Q32" s="3" t="str">
        <f t="shared" si="4"/>
        <v>YOUSEF NASSER</v>
      </c>
      <c r="R32" s="3" t="str">
        <f t="shared" si="5"/>
        <v>Yousef Nasser</v>
      </c>
      <c r="S32" s="3">
        <f t="shared" si="6"/>
        <v>13</v>
      </c>
      <c r="T32" s="3" t="str">
        <f t="shared" si="7"/>
        <v>You</v>
      </c>
      <c r="U32" s="3" t="str">
        <f t="shared" si="8"/>
        <v>ser</v>
      </c>
      <c r="V32" s="9" t="str">
        <f t="shared" si="9"/>
        <v>ouse</v>
      </c>
      <c r="W32" s="9" t="str">
        <f t="shared" si="10"/>
        <v>Yousef Nasser - Khobar</v>
      </c>
      <c r="X32" s="9" t="e">
        <f t="shared" ca="1" si="11"/>
        <v>#NAME?</v>
      </c>
      <c r="Y32" s="9">
        <f t="shared" si="12"/>
        <v>8</v>
      </c>
      <c r="Z32" s="9">
        <f t="shared" si="13"/>
        <v>2026</v>
      </c>
      <c r="AA32" s="9"/>
      <c r="AB32" s="9"/>
      <c r="AC32" s="9"/>
    </row>
    <row r="33" spans="1:29" ht="15.75" customHeight="1">
      <c r="A33" s="3" t="s">
        <v>102</v>
      </c>
      <c r="B33" s="4">
        <v>46238</v>
      </c>
      <c r="C33" s="3" t="s">
        <v>69</v>
      </c>
      <c r="D33" s="3" t="s">
        <v>52</v>
      </c>
      <c r="E33" s="3" t="s">
        <v>42</v>
      </c>
      <c r="F33" s="3" t="s">
        <v>43</v>
      </c>
      <c r="G33" s="3">
        <v>1</v>
      </c>
      <c r="H33" s="5">
        <v>120</v>
      </c>
      <c r="I33" s="6">
        <v>0.15</v>
      </c>
      <c r="J33" s="3" t="s">
        <v>36</v>
      </c>
      <c r="K33" s="3" t="s">
        <v>37</v>
      </c>
      <c r="L33" s="5">
        <f t="shared" si="0"/>
        <v>120</v>
      </c>
      <c r="M33" s="5">
        <f t="shared" si="1"/>
        <v>102</v>
      </c>
      <c r="N33" s="7" t="str">
        <f t="shared" si="2"/>
        <v>Regular</v>
      </c>
      <c r="O33" s="7" t="str">
        <f t="shared" si="3"/>
        <v>Yousef Nasser</v>
      </c>
      <c r="Q33" s="3" t="str">
        <f t="shared" si="4"/>
        <v>YOUSEF NASSER</v>
      </c>
      <c r="R33" s="3" t="str">
        <f t="shared" si="5"/>
        <v>Yousef Nasser</v>
      </c>
      <c r="S33" s="3">
        <f t="shared" si="6"/>
        <v>13</v>
      </c>
      <c r="T33" s="3" t="str">
        <f t="shared" si="7"/>
        <v>You</v>
      </c>
      <c r="U33" s="3" t="str">
        <f t="shared" si="8"/>
        <v>ser</v>
      </c>
      <c r="V33" s="9" t="str">
        <f t="shared" si="9"/>
        <v>ouse</v>
      </c>
      <c r="W33" s="9" t="str">
        <f t="shared" si="10"/>
        <v>Yousef Nasser - Riyadh</v>
      </c>
      <c r="X33" s="9" t="e">
        <f t="shared" ca="1" si="11"/>
        <v>#NAME?</v>
      </c>
      <c r="Y33" s="9">
        <f t="shared" si="12"/>
        <v>8</v>
      </c>
      <c r="Z33" s="9">
        <f t="shared" si="13"/>
        <v>2026</v>
      </c>
      <c r="AA33" s="9"/>
      <c r="AB33" s="9"/>
      <c r="AC33" s="9"/>
    </row>
    <row r="34" spans="1:29" ht="15.75" customHeight="1">
      <c r="A34" s="3" t="s">
        <v>103</v>
      </c>
      <c r="B34" s="4">
        <v>46254</v>
      </c>
      <c r="C34" s="3" t="s">
        <v>45</v>
      </c>
      <c r="D34" s="3" t="s">
        <v>46</v>
      </c>
      <c r="E34" s="3" t="s">
        <v>42</v>
      </c>
      <c r="F34" s="3" t="s">
        <v>43</v>
      </c>
      <c r="G34" s="3">
        <v>2</v>
      </c>
      <c r="H34" s="5">
        <v>120</v>
      </c>
      <c r="I34" s="6">
        <v>0.05</v>
      </c>
      <c r="J34" s="3" t="s">
        <v>36</v>
      </c>
      <c r="K34" s="3" t="s">
        <v>49</v>
      </c>
      <c r="L34" s="5">
        <f t="shared" si="0"/>
        <v>240</v>
      </c>
      <c r="M34" s="5">
        <f t="shared" si="1"/>
        <v>228</v>
      </c>
      <c r="N34" s="7" t="str">
        <f t="shared" si="2"/>
        <v>Regular</v>
      </c>
      <c r="O34" s="7" t="str">
        <f t="shared" si="3"/>
        <v>Reem Fahad</v>
      </c>
      <c r="Q34" s="3" t="str">
        <f t="shared" si="4"/>
        <v>REEM FAHAD</v>
      </c>
      <c r="R34" s="3" t="str">
        <f t="shared" si="5"/>
        <v>Reem Fahad</v>
      </c>
      <c r="S34" s="3">
        <f t="shared" si="6"/>
        <v>10</v>
      </c>
      <c r="T34" s="3" t="str">
        <f t="shared" si="7"/>
        <v>Ree</v>
      </c>
      <c r="U34" s="3" t="str">
        <f t="shared" si="8"/>
        <v>had</v>
      </c>
      <c r="V34" s="9" t="str">
        <f t="shared" si="9"/>
        <v xml:space="preserve">eem </v>
      </c>
      <c r="W34" s="9" t="str">
        <f t="shared" si="10"/>
        <v>Reem Fahad - Dammam</v>
      </c>
      <c r="X34" s="9" t="e">
        <f t="shared" ca="1" si="11"/>
        <v>#NAME?</v>
      </c>
      <c r="Y34" s="9">
        <f t="shared" si="12"/>
        <v>8</v>
      </c>
      <c r="Z34" s="9">
        <f t="shared" si="13"/>
        <v>2026</v>
      </c>
      <c r="AA34" s="9"/>
      <c r="AB34" s="9"/>
      <c r="AC34" s="9"/>
    </row>
    <row r="35" spans="1:29" ht="15.75" customHeight="1">
      <c r="A35" s="3" t="s">
        <v>104</v>
      </c>
      <c r="B35" s="4">
        <v>46253</v>
      </c>
      <c r="C35" s="3" t="s">
        <v>73</v>
      </c>
      <c r="D35" s="3" t="s">
        <v>71</v>
      </c>
      <c r="E35" s="3" t="s">
        <v>42</v>
      </c>
      <c r="F35" s="3" t="s">
        <v>60</v>
      </c>
      <c r="G35" s="3">
        <v>1</v>
      </c>
      <c r="H35" s="5">
        <v>75</v>
      </c>
      <c r="I35" s="6">
        <v>0</v>
      </c>
      <c r="J35" s="3" t="s">
        <v>68</v>
      </c>
      <c r="K35" s="3" t="s">
        <v>37</v>
      </c>
      <c r="L35" s="5">
        <f t="shared" si="0"/>
        <v>75</v>
      </c>
      <c r="M35" s="5">
        <f t="shared" si="1"/>
        <v>75</v>
      </c>
      <c r="N35" s="7" t="str">
        <f t="shared" si="2"/>
        <v>Regular</v>
      </c>
      <c r="O35" s="7" t="str">
        <f t="shared" si="3"/>
        <v>Fahad Hassan</v>
      </c>
      <c r="Q35" s="3" t="str">
        <f t="shared" si="4"/>
        <v>FAHAD HASSAN</v>
      </c>
      <c r="R35" s="3" t="str">
        <f t="shared" si="5"/>
        <v>Fahad Hassan</v>
      </c>
      <c r="S35" s="3">
        <f t="shared" si="6"/>
        <v>12</v>
      </c>
      <c r="T35" s="3" t="str">
        <f t="shared" si="7"/>
        <v>Fah</v>
      </c>
      <c r="U35" s="3" t="str">
        <f t="shared" si="8"/>
        <v>san</v>
      </c>
      <c r="V35" s="9" t="str">
        <f t="shared" si="9"/>
        <v>ahad</v>
      </c>
      <c r="W35" s="9" t="str">
        <f t="shared" si="10"/>
        <v>Fahad Hassan - Qatif</v>
      </c>
      <c r="X35" s="9" t="e">
        <f t="shared" ca="1" si="11"/>
        <v>#NAME?</v>
      </c>
      <c r="Y35" s="9">
        <f t="shared" si="12"/>
        <v>8</v>
      </c>
      <c r="Z35" s="9">
        <f t="shared" si="13"/>
        <v>2026</v>
      </c>
      <c r="AA35" s="9"/>
      <c r="AB35" s="9"/>
      <c r="AC35" s="9"/>
    </row>
    <row r="36" spans="1:29" ht="15.75" customHeight="1">
      <c r="A36" s="3" t="s">
        <v>105</v>
      </c>
      <c r="B36" s="4">
        <v>46260</v>
      </c>
      <c r="C36" s="3" t="s">
        <v>69</v>
      </c>
      <c r="D36" s="3" t="s">
        <v>33</v>
      </c>
      <c r="E36" s="3" t="s">
        <v>34</v>
      </c>
      <c r="F36" s="3" t="s">
        <v>35</v>
      </c>
      <c r="G36" s="3">
        <v>3</v>
      </c>
      <c r="H36" s="5">
        <v>140</v>
      </c>
      <c r="I36" s="6">
        <v>0</v>
      </c>
      <c r="J36" s="3" t="s">
        <v>36</v>
      </c>
      <c r="K36" s="3" t="s">
        <v>49</v>
      </c>
      <c r="L36" s="5">
        <f t="shared" si="0"/>
        <v>420</v>
      </c>
      <c r="M36" s="5">
        <f t="shared" si="1"/>
        <v>420</v>
      </c>
      <c r="N36" s="7" t="str">
        <f t="shared" si="2"/>
        <v>High Value</v>
      </c>
      <c r="O36" s="7" t="str">
        <f t="shared" si="3"/>
        <v>Yousef Nasser</v>
      </c>
      <c r="Q36" s="3" t="str">
        <f t="shared" si="4"/>
        <v>YOUSEF NASSER</v>
      </c>
      <c r="R36" s="3" t="str">
        <f t="shared" si="5"/>
        <v>Yousef Nasser</v>
      </c>
      <c r="S36" s="3">
        <f t="shared" si="6"/>
        <v>13</v>
      </c>
      <c r="T36" s="3" t="str">
        <f t="shared" si="7"/>
        <v>You</v>
      </c>
      <c r="U36" s="3" t="str">
        <f t="shared" si="8"/>
        <v>ser</v>
      </c>
      <c r="V36" s="9" t="str">
        <f t="shared" si="9"/>
        <v>ouse</v>
      </c>
      <c r="W36" s="9" t="str">
        <f t="shared" si="10"/>
        <v>Yousef Nasser - Khobar</v>
      </c>
      <c r="X36" s="9" t="e">
        <f t="shared" ca="1" si="11"/>
        <v>#NAME?</v>
      </c>
      <c r="Y36" s="9">
        <f t="shared" si="12"/>
        <v>8</v>
      </c>
      <c r="Z36" s="9">
        <f t="shared" si="13"/>
        <v>2026</v>
      </c>
      <c r="AA36" s="9"/>
      <c r="AB36" s="9"/>
      <c r="AC36" s="9"/>
    </row>
    <row r="37" spans="1:29" ht="15.75" customHeight="1">
      <c r="A37" s="3" t="s">
        <v>106</v>
      </c>
      <c r="B37" s="4">
        <v>46239</v>
      </c>
      <c r="C37" s="3" t="s">
        <v>24</v>
      </c>
      <c r="D37" s="3" t="s">
        <v>52</v>
      </c>
      <c r="E37" s="3" t="s">
        <v>42</v>
      </c>
      <c r="F37" s="3" t="s">
        <v>47</v>
      </c>
      <c r="G37" s="3">
        <v>2</v>
      </c>
      <c r="H37" s="5">
        <v>150</v>
      </c>
      <c r="I37" s="6">
        <v>0</v>
      </c>
      <c r="J37" s="3" t="s">
        <v>36</v>
      </c>
      <c r="K37" s="3" t="s">
        <v>49</v>
      </c>
      <c r="L37" s="5">
        <f t="shared" si="0"/>
        <v>300</v>
      </c>
      <c r="M37" s="5">
        <f t="shared" si="1"/>
        <v>300</v>
      </c>
      <c r="N37" s="7" t="str">
        <f t="shared" si="2"/>
        <v>High Value</v>
      </c>
      <c r="O37" s="7" t="str">
        <f t="shared" si="3"/>
        <v>Ahmed Ali</v>
      </c>
      <c r="Q37" s="3" t="str">
        <f t="shared" si="4"/>
        <v>AHMED ALI</v>
      </c>
      <c r="R37" s="3" t="str">
        <f t="shared" si="5"/>
        <v>Ahmed Ali</v>
      </c>
      <c r="S37" s="3">
        <f t="shared" si="6"/>
        <v>9</v>
      </c>
      <c r="T37" s="3" t="str">
        <f t="shared" si="7"/>
        <v>Ahm</v>
      </c>
      <c r="U37" s="3" t="str">
        <f t="shared" si="8"/>
        <v>Ali</v>
      </c>
      <c r="V37" s="9" t="str">
        <f t="shared" si="9"/>
        <v>hmed</v>
      </c>
      <c r="W37" s="9" t="str">
        <f t="shared" si="10"/>
        <v>Ahmed Ali - Riyadh</v>
      </c>
      <c r="X37" s="9" t="e">
        <f t="shared" ca="1" si="11"/>
        <v>#NAME?</v>
      </c>
      <c r="Y37" s="9">
        <f t="shared" si="12"/>
        <v>8</v>
      </c>
      <c r="Z37" s="9">
        <f t="shared" si="13"/>
        <v>2026</v>
      </c>
      <c r="AA37" s="9"/>
      <c r="AB37" s="9"/>
      <c r="AC37" s="9"/>
    </row>
    <row r="38" spans="1:29" ht="15.75" customHeight="1">
      <c r="A38" s="3" t="s">
        <v>107</v>
      </c>
      <c r="B38" s="4">
        <v>46254</v>
      </c>
      <c r="C38" s="3" t="s">
        <v>69</v>
      </c>
      <c r="D38" s="3" t="s">
        <v>52</v>
      </c>
      <c r="E38" s="3" t="s">
        <v>42</v>
      </c>
      <c r="F38" s="3" t="s">
        <v>60</v>
      </c>
      <c r="G38" s="3">
        <v>1</v>
      </c>
      <c r="H38" s="5">
        <v>75</v>
      </c>
      <c r="I38" s="6">
        <v>0</v>
      </c>
      <c r="J38" s="3" t="s">
        <v>86</v>
      </c>
      <c r="K38" s="3" t="s">
        <v>37</v>
      </c>
      <c r="L38" s="5">
        <f t="shared" si="0"/>
        <v>75</v>
      </c>
      <c r="M38" s="5">
        <f t="shared" si="1"/>
        <v>75</v>
      </c>
      <c r="N38" s="7" t="str">
        <f t="shared" si="2"/>
        <v>Regular</v>
      </c>
      <c r="O38" s="7" t="str">
        <f t="shared" si="3"/>
        <v>Yousef Nasser</v>
      </c>
      <c r="Q38" s="3" t="str">
        <f t="shared" si="4"/>
        <v>YOUSEF NASSER</v>
      </c>
      <c r="R38" s="3" t="str">
        <f t="shared" si="5"/>
        <v>Yousef Nasser</v>
      </c>
      <c r="S38" s="3">
        <f t="shared" si="6"/>
        <v>13</v>
      </c>
      <c r="T38" s="3" t="str">
        <f t="shared" si="7"/>
        <v>You</v>
      </c>
      <c r="U38" s="3" t="str">
        <f t="shared" si="8"/>
        <v>ser</v>
      </c>
      <c r="V38" s="9" t="str">
        <f t="shared" si="9"/>
        <v>ouse</v>
      </c>
      <c r="W38" s="9" t="str">
        <f t="shared" si="10"/>
        <v>Yousef Nasser - Riyadh</v>
      </c>
      <c r="X38" s="9" t="e">
        <f t="shared" ca="1" si="11"/>
        <v>#NAME?</v>
      </c>
      <c r="Y38" s="9">
        <f t="shared" si="12"/>
        <v>8</v>
      </c>
      <c r="Z38" s="9">
        <f t="shared" si="13"/>
        <v>2026</v>
      </c>
      <c r="AA38" s="9"/>
      <c r="AB38" s="9"/>
      <c r="AC38" s="9"/>
    </row>
    <row r="39" spans="1:29" ht="15.75" customHeight="1">
      <c r="A39" s="3" t="s">
        <v>108</v>
      </c>
      <c r="B39" s="4">
        <v>46250</v>
      </c>
      <c r="C39" s="3" t="s">
        <v>80</v>
      </c>
      <c r="D39" s="3" t="s">
        <v>52</v>
      </c>
      <c r="E39" s="3" t="s">
        <v>42</v>
      </c>
      <c r="F39" s="3" t="s">
        <v>60</v>
      </c>
      <c r="G39" s="3">
        <v>1</v>
      </c>
      <c r="H39" s="5">
        <v>75</v>
      </c>
      <c r="I39" s="6">
        <v>0</v>
      </c>
      <c r="J39" s="3" t="s">
        <v>86</v>
      </c>
      <c r="K39" s="3" t="s">
        <v>37</v>
      </c>
      <c r="L39" s="5">
        <f t="shared" si="0"/>
        <v>75</v>
      </c>
      <c r="M39" s="5">
        <f t="shared" si="1"/>
        <v>75</v>
      </c>
      <c r="N39" s="7" t="str">
        <f t="shared" si="2"/>
        <v>Regular</v>
      </c>
      <c r="O39" s="7" t="str">
        <f t="shared" si="3"/>
        <v>Khalid Omar</v>
      </c>
      <c r="Q39" s="3" t="str">
        <f t="shared" si="4"/>
        <v>KHALID OMAR</v>
      </c>
      <c r="R39" s="3" t="str">
        <f t="shared" si="5"/>
        <v>Khalid Omar</v>
      </c>
      <c r="S39" s="3">
        <f t="shared" si="6"/>
        <v>11</v>
      </c>
      <c r="T39" s="3" t="str">
        <f t="shared" si="7"/>
        <v>Kha</v>
      </c>
      <c r="U39" s="3" t="str">
        <f t="shared" si="8"/>
        <v>mar</v>
      </c>
      <c r="V39" s="9" t="str">
        <f t="shared" si="9"/>
        <v>hali</v>
      </c>
      <c r="W39" s="9" t="str">
        <f t="shared" si="10"/>
        <v>Khalid Omar - Riyadh</v>
      </c>
      <c r="X39" s="9" t="e">
        <f t="shared" ca="1" si="11"/>
        <v>#NAME?</v>
      </c>
      <c r="Y39" s="9">
        <f t="shared" si="12"/>
        <v>8</v>
      </c>
      <c r="Z39" s="9">
        <f t="shared" si="13"/>
        <v>2026</v>
      </c>
      <c r="AA39" s="9"/>
      <c r="AB39" s="9"/>
      <c r="AC39" s="9"/>
    </row>
    <row r="40" spans="1:29" ht="15.75" customHeight="1">
      <c r="A40" s="3" t="s">
        <v>109</v>
      </c>
      <c r="B40" s="4">
        <v>46258</v>
      </c>
      <c r="C40" s="3" t="s">
        <v>73</v>
      </c>
      <c r="D40" s="3" t="s">
        <v>33</v>
      </c>
      <c r="E40" s="3" t="s">
        <v>42</v>
      </c>
      <c r="F40" s="3" t="s">
        <v>60</v>
      </c>
      <c r="G40" s="3">
        <v>1</v>
      </c>
      <c r="H40" s="5">
        <v>75</v>
      </c>
      <c r="I40" s="6">
        <v>0.1</v>
      </c>
      <c r="J40" s="3" t="s">
        <v>48</v>
      </c>
      <c r="K40" s="3" t="s">
        <v>37</v>
      </c>
      <c r="L40" s="5">
        <f t="shared" si="0"/>
        <v>75</v>
      </c>
      <c r="M40" s="5">
        <f t="shared" si="1"/>
        <v>67.5</v>
      </c>
      <c r="N40" s="7" t="str">
        <f t="shared" si="2"/>
        <v>Regular</v>
      </c>
      <c r="O40" s="7" t="str">
        <f t="shared" si="3"/>
        <v>Fahad Hassan</v>
      </c>
      <c r="Q40" s="3" t="str">
        <f t="shared" si="4"/>
        <v>FAHAD HASSAN</v>
      </c>
      <c r="R40" s="3" t="str">
        <f t="shared" si="5"/>
        <v>Fahad Hassan</v>
      </c>
      <c r="S40" s="3">
        <f t="shared" si="6"/>
        <v>12</v>
      </c>
      <c r="T40" s="3" t="str">
        <f t="shared" si="7"/>
        <v>Fah</v>
      </c>
      <c r="U40" s="3" t="str">
        <f t="shared" si="8"/>
        <v>san</v>
      </c>
      <c r="V40" s="9" t="str">
        <f t="shared" si="9"/>
        <v>ahad</v>
      </c>
      <c r="W40" s="9" t="str">
        <f t="shared" si="10"/>
        <v>Fahad Hassan - Khobar</v>
      </c>
      <c r="X40" s="9" t="e">
        <f t="shared" ca="1" si="11"/>
        <v>#NAME?</v>
      </c>
      <c r="Y40" s="9">
        <f t="shared" si="12"/>
        <v>8</v>
      </c>
      <c r="Z40" s="9">
        <f t="shared" si="13"/>
        <v>2026</v>
      </c>
      <c r="AA40" s="9"/>
      <c r="AB40" s="9"/>
      <c r="AC40" s="9"/>
    </row>
    <row r="41" spans="1:29" ht="15.75" customHeight="1">
      <c r="A41" s="3" t="s">
        <v>110</v>
      </c>
      <c r="B41" s="4">
        <v>46264</v>
      </c>
      <c r="C41" s="3" t="s">
        <v>75</v>
      </c>
      <c r="D41" s="3" t="s">
        <v>33</v>
      </c>
      <c r="E41" s="3" t="s">
        <v>34</v>
      </c>
      <c r="F41" s="3" t="s">
        <v>35</v>
      </c>
      <c r="G41" s="3">
        <v>2</v>
      </c>
      <c r="H41" s="5">
        <v>140</v>
      </c>
      <c r="I41" s="6">
        <v>0</v>
      </c>
      <c r="J41" s="3" t="s">
        <v>36</v>
      </c>
      <c r="K41" s="3" t="s">
        <v>72</v>
      </c>
      <c r="L41" s="5">
        <f t="shared" si="0"/>
        <v>280</v>
      </c>
      <c r="M41" s="5">
        <f t="shared" si="1"/>
        <v>280</v>
      </c>
      <c r="N41" s="7" t="str">
        <f t="shared" si="2"/>
        <v>Regular</v>
      </c>
      <c r="O41" s="7" t="str">
        <f t="shared" si="3"/>
        <v>Maha Abdullah</v>
      </c>
      <c r="Q41" s="3" t="str">
        <f t="shared" si="4"/>
        <v>MAHA ABDULLAH</v>
      </c>
      <c r="R41" s="3" t="str">
        <f t="shared" si="5"/>
        <v>Maha Abdullah</v>
      </c>
      <c r="S41" s="3">
        <f t="shared" si="6"/>
        <v>13</v>
      </c>
      <c r="T41" s="3" t="str">
        <f t="shared" si="7"/>
        <v>Mah</v>
      </c>
      <c r="U41" s="3" t="str">
        <f t="shared" si="8"/>
        <v>lah</v>
      </c>
      <c r="V41" s="9" t="str">
        <f t="shared" si="9"/>
        <v xml:space="preserve">aha </v>
      </c>
      <c r="W41" s="9" t="str">
        <f t="shared" si="10"/>
        <v>Maha Abdullah - Khobar</v>
      </c>
      <c r="X41" s="9" t="e">
        <f t="shared" ca="1" si="11"/>
        <v>#NAME?</v>
      </c>
      <c r="Y41" s="9">
        <f t="shared" si="12"/>
        <v>8</v>
      </c>
      <c r="Z41" s="9">
        <f t="shared" si="13"/>
        <v>2026</v>
      </c>
      <c r="AA41" s="9"/>
      <c r="AB41" s="9"/>
      <c r="AC41" s="9"/>
    </row>
    <row r="42" spans="1:29" ht="15.75" customHeight="1">
      <c r="A42" s="3"/>
      <c r="B42" s="4"/>
      <c r="D42" s="3"/>
      <c r="E42" s="3">
        <f>COUNTBLANK(C2:C41)</f>
        <v>0</v>
      </c>
      <c r="F42" s="3"/>
      <c r="G42" s="3"/>
      <c r="H42" s="5"/>
      <c r="I42" s="6"/>
      <c r="J42" s="3"/>
      <c r="K42" s="3"/>
      <c r="L42" s="5">
        <f t="shared" si="0"/>
        <v>0</v>
      </c>
      <c r="M42" s="5">
        <f t="shared" si="1"/>
        <v>0</v>
      </c>
      <c r="N42" s="7" t="str">
        <f t="shared" si="2"/>
        <v>Regular</v>
      </c>
      <c r="O42" s="7" t="str">
        <f t="shared" si="3"/>
        <v/>
      </c>
      <c r="P42" s="3"/>
      <c r="Q42" s="3" t="str">
        <f t="shared" si="4"/>
        <v/>
      </c>
      <c r="R42" s="3" t="str">
        <f t="shared" si="5"/>
        <v/>
      </c>
      <c r="S42" s="3">
        <f t="shared" si="6"/>
        <v>0</v>
      </c>
      <c r="T42" s="3" t="str">
        <f t="shared" si="7"/>
        <v/>
      </c>
      <c r="U42" s="3" t="str">
        <f t="shared" si="8"/>
        <v/>
      </c>
      <c r="V42" s="9" t="str">
        <f t="shared" si="9"/>
        <v/>
      </c>
      <c r="W42" s="9" t="str">
        <f t="shared" si="10"/>
        <v xml:space="preserve"> - </v>
      </c>
      <c r="X42" s="9" t="e">
        <f t="shared" ca="1" si="11"/>
        <v>#NAME?</v>
      </c>
      <c r="Y42" s="9">
        <f t="shared" si="12"/>
        <v>1</v>
      </c>
      <c r="Z42" s="9">
        <f t="shared" si="13"/>
        <v>1900</v>
      </c>
      <c r="AA42" s="9"/>
      <c r="AB42" s="9"/>
      <c r="AC42" s="9"/>
    </row>
    <row r="43" spans="1:29" ht="15.75" customHeight="1"/>
    <row r="44" spans="1:29" ht="15.75" customHeight="1"/>
    <row r="45" spans="1:29" ht="15.75" customHeight="1"/>
    <row r="46" spans="1:29" ht="15.75" customHeight="1"/>
    <row r="47" spans="1:29" ht="15.75" customHeight="1"/>
    <row r="48" spans="1:2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B9E9-7DFD-466C-950C-69CC7C25F0D1}">
  <dimension ref="A1:B18"/>
  <sheetViews>
    <sheetView topLeftCell="A6" workbookViewId="0">
      <selection activeCell="A7" activeCellId="1" sqref="A5 A7 A9 A11 A13 A15 A17"/>
      <pivotSelection pane="bottomRight" showHeader="1" axis="axisRow" dimension="1" activeRow="6" previousRow="6" click="1" r:id="rId1">
        <pivotArea dataOnly="0" labelOnly="1" fieldPosition="0">
          <references count="1">
            <reference field="4" count="0"/>
          </references>
        </pivotArea>
      </pivotSelection>
    </sheetView>
  </sheetViews>
  <sheetFormatPr defaultRowHeight="14.25"/>
  <cols>
    <col min="1" max="1" width="17.625" bestFit="1" customWidth="1"/>
    <col min="2" max="2" width="15.5" bestFit="1" customWidth="1"/>
  </cols>
  <sheetData>
    <row r="1" spans="1:2">
      <c r="A1" s="25" t="s">
        <v>10</v>
      </c>
      <c r="B1" s="20" t="s">
        <v>37</v>
      </c>
    </row>
    <row r="3" spans="1:2">
      <c r="A3" s="11" t="s">
        <v>112</v>
      </c>
      <c r="B3" s="12" t="s">
        <v>114</v>
      </c>
    </row>
    <row r="4" spans="1:2">
      <c r="A4" s="21" t="s">
        <v>53</v>
      </c>
      <c r="B4" s="12">
        <v>475</v>
      </c>
    </row>
    <row r="5" spans="1:2">
      <c r="A5" s="26" t="s">
        <v>34</v>
      </c>
      <c r="B5" s="23">
        <v>475</v>
      </c>
    </row>
    <row r="6" spans="1:2">
      <c r="A6" s="22" t="s">
        <v>57</v>
      </c>
      <c r="B6" s="23">
        <v>424</v>
      </c>
    </row>
    <row r="7" spans="1:2">
      <c r="A7" s="26" t="s">
        <v>56</v>
      </c>
      <c r="B7" s="23">
        <v>424</v>
      </c>
    </row>
    <row r="8" spans="1:2">
      <c r="A8" s="22" t="s">
        <v>35</v>
      </c>
      <c r="B8" s="23">
        <v>1141</v>
      </c>
    </row>
    <row r="9" spans="1:2">
      <c r="A9" s="26" t="s">
        <v>34</v>
      </c>
      <c r="B9" s="23">
        <v>1141</v>
      </c>
    </row>
    <row r="10" spans="1:2">
      <c r="A10" s="22" t="s">
        <v>64</v>
      </c>
      <c r="B10" s="23">
        <v>720</v>
      </c>
    </row>
    <row r="11" spans="1:2">
      <c r="A11" s="26" t="s">
        <v>63</v>
      </c>
      <c r="B11" s="23">
        <v>720</v>
      </c>
    </row>
    <row r="12" spans="1:2">
      <c r="A12" s="22" t="s">
        <v>58</v>
      </c>
      <c r="B12" s="23">
        <v>160</v>
      </c>
    </row>
    <row r="13" spans="1:2">
      <c r="A13" s="26" t="s">
        <v>56</v>
      </c>
      <c r="B13" s="23">
        <v>160</v>
      </c>
    </row>
    <row r="14" spans="1:2">
      <c r="A14" s="22" t="s">
        <v>43</v>
      </c>
      <c r="B14" s="23">
        <v>1590</v>
      </c>
    </row>
    <row r="15" spans="1:2">
      <c r="A15" s="26" t="s">
        <v>42</v>
      </c>
      <c r="B15" s="23">
        <v>1590</v>
      </c>
    </row>
    <row r="16" spans="1:2">
      <c r="A16" s="22" t="s">
        <v>60</v>
      </c>
      <c r="B16" s="23">
        <v>1158.75</v>
      </c>
    </row>
    <row r="17" spans="1:2">
      <c r="A17" s="26" t="s">
        <v>42</v>
      </c>
      <c r="B17" s="23">
        <v>1158.75</v>
      </c>
    </row>
    <row r="18" spans="1:2">
      <c r="A18" s="24" t="s">
        <v>113</v>
      </c>
      <c r="B18" s="20">
        <v>5668.75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"/>
  <sheetViews>
    <sheetView workbookViewId="0"/>
  </sheetViews>
  <sheetFormatPr defaultColWidth="12.625" defaultRowHeight="15" customHeight="1"/>
  <sheetData>
    <row r="1" spans="1:3">
      <c r="A1" s="1" t="s">
        <v>38</v>
      </c>
      <c r="C1" s="1" t="s">
        <v>39</v>
      </c>
    </row>
    <row r="2" spans="1:3">
      <c r="A2" s="8">
        <f>SUM(Orders_Data!M2:M41)</f>
        <v>11762.75</v>
      </c>
      <c r="C2" s="1">
        <f>COUNTIF(Orders_Data!K2:K41,"Completed")</f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6"/>
  <sheetViews>
    <sheetView showGridLines="0" workbookViewId="0"/>
  </sheetViews>
  <sheetFormatPr defaultColWidth="12.625" defaultRowHeight="15" customHeight="1"/>
  <sheetData>
    <row r="1" spans="1:3">
      <c r="A1" s="11" t="s">
        <v>4</v>
      </c>
      <c r="B1" s="11" t="s">
        <v>5</v>
      </c>
      <c r="C1" s="12" t="s">
        <v>54</v>
      </c>
    </row>
    <row r="2" spans="1:3">
      <c r="A2" s="13">
        <v>0</v>
      </c>
      <c r="B2" s="13" t="s">
        <v>111</v>
      </c>
      <c r="C2" s="12">
        <v>0</v>
      </c>
    </row>
    <row r="3" spans="1:3">
      <c r="A3" s="13" t="s">
        <v>55</v>
      </c>
      <c r="B3" s="14"/>
      <c r="C3" s="12">
        <v>0</v>
      </c>
    </row>
    <row r="4" spans="1:3">
      <c r="A4" s="13" t="s">
        <v>56</v>
      </c>
      <c r="B4" s="13" t="s">
        <v>57</v>
      </c>
      <c r="C4" s="12">
        <v>904</v>
      </c>
    </row>
    <row r="5" spans="1:3">
      <c r="A5" s="15"/>
      <c r="B5" s="16" t="s">
        <v>58</v>
      </c>
      <c r="C5" s="17">
        <v>640</v>
      </c>
    </row>
    <row r="6" spans="1:3">
      <c r="A6" s="13" t="s">
        <v>59</v>
      </c>
      <c r="B6" s="14"/>
      <c r="C6" s="12">
        <v>1544</v>
      </c>
    </row>
    <row r="7" spans="1:3">
      <c r="A7" s="13" t="s">
        <v>42</v>
      </c>
      <c r="B7" s="13" t="s">
        <v>47</v>
      </c>
      <c r="C7" s="12">
        <v>1350</v>
      </c>
    </row>
    <row r="8" spans="1:3">
      <c r="A8" s="15"/>
      <c r="B8" s="16" t="s">
        <v>43</v>
      </c>
      <c r="C8" s="17">
        <v>2034</v>
      </c>
    </row>
    <row r="9" spans="1:3">
      <c r="A9" s="15"/>
      <c r="B9" s="16" t="s">
        <v>60</v>
      </c>
      <c r="C9" s="17">
        <v>1158.75</v>
      </c>
    </row>
    <row r="10" spans="1:3">
      <c r="A10" s="13" t="s">
        <v>61</v>
      </c>
      <c r="B10" s="14"/>
      <c r="C10" s="12">
        <v>4542.75</v>
      </c>
    </row>
    <row r="11" spans="1:3">
      <c r="A11" s="13" t="s">
        <v>34</v>
      </c>
      <c r="B11" s="13" t="s">
        <v>53</v>
      </c>
      <c r="C11" s="12">
        <v>2325</v>
      </c>
    </row>
    <row r="12" spans="1:3">
      <c r="A12" s="15"/>
      <c r="B12" s="16" t="s">
        <v>35</v>
      </c>
      <c r="C12" s="17">
        <v>2541</v>
      </c>
    </row>
    <row r="13" spans="1:3">
      <c r="A13" s="13" t="s">
        <v>62</v>
      </c>
      <c r="B13" s="14"/>
      <c r="C13" s="12">
        <v>4866</v>
      </c>
    </row>
    <row r="14" spans="1:3">
      <c r="A14" s="13" t="s">
        <v>63</v>
      </c>
      <c r="B14" s="13" t="s">
        <v>64</v>
      </c>
      <c r="C14" s="12">
        <v>810</v>
      </c>
    </row>
    <row r="15" spans="1:3">
      <c r="A15" s="18" t="s">
        <v>65</v>
      </c>
      <c r="B15" s="19"/>
      <c r="C15" s="20">
        <v>810</v>
      </c>
    </row>
    <row r="26" spans="7:7">
      <c r="G26" s="10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6FBC-89FE-4705-9E2A-5615217A4884}">
  <dimension ref="A1"/>
  <sheetViews>
    <sheetView tabSelected="1" workbookViewId="0">
      <selection activeCell="A2" sqref="A2"/>
    </sheetView>
  </sheetViews>
  <sheetFormatPr defaultRowHeight="14.25"/>
  <sheetData>
    <row r="1" spans="1:1">
      <c r="A1" t="s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C77B4D-E091-4ABA-9959-07C5172A9B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Orders_Data</vt:lpstr>
      <vt:lpstr>Sheet3</vt:lpstr>
      <vt:lpstr>Dashboard</vt:lpstr>
      <vt:lpstr>Pivot Table 1</vt:lpstr>
      <vt:lpstr>Conclusion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Fouad Al-Salem</dc:creator>
  <cp:lastModifiedBy>FOUAD FATHI I. AL SALEM</cp:lastModifiedBy>
  <dcterms:created xsi:type="dcterms:W3CDTF">2026-09-18T20:29:04Z</dcterms:created>
  <dcterms:modified xsi:type="dcterms:W3CDTF">2026-09-18T20:29:04Z</dcterms:modified>
</cp:coreProperties>
</file>